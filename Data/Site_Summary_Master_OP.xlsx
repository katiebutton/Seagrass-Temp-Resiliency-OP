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oimspp-my.sharepoint.com/personal/kbutton_nps_gov/Documents/Katie Button/NCBN/ENE/R_repos/Seagrass-Temp-Resiliency_OP/Data/"/>
    </mc:Choice>
  </mc:AlternateContent>
  <xr:revisionPtr revIDLastSave="1" documentId="8_{98E707E9-F5B7-49D7-8A6F-26783CBDE66F}" xr6:coauthVersionLast="47" xr6:coauthVersionMax="47" xr10:uidLastSave="{A03A3BF5-8D1B-452B-8521-BB39DEC8BDF4}"/>
  <bookViews>
    <workbookView xWindow="-120" yWindow="-120" windowWidth="29040" windowHeight="17520" firstSheet="2" xr2:uid="{79C877D3-2B70-4D93-9239-27F7DCCAB4D1}"/>
  </bookViews>
  <sheets>
    <sheet name="Site_Year_OP" sheetId="14" r:id="rId1"/>
    <sheet name="Sheet1" sheetId="15" r:id="rId2"/>
    <sheet name="Site Summary Master_25" sheetId="6" r:id="rId3"/>
  </sheets>
  <definedNames>
    <definedName name="_xlnm._FilterDatabase" localSheetId="2" hidden="1">'Site Summary Master_25'!$A$1:$A$51</definedName>
    <definedName name="_xlnm._FilterDatabase" localSheetId="0" hidden="1">Site_Year_OP!$A$1:$AK$1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5" i="14" l="1"/>
  <c r="AG45" i="14"/>
  <c r="AF45" i="14"/>
  <c r="AE45" i="14"/>
  <c r="AD45" i="14"/>
  <c r="AC45" i="14"/>
  <c r="AH44" i="14"/>
  <c r="AG44" i="14"/>
  <c r="AF44" i="14"/>
  <c r="AE44" i="14"/>
  <c r="AD44" i="14"/>
  <c r="AC44" i="14"/>
  <c r="AK44" i="14" s="1"/>
  <c r="AH43" i="14"/>
  <c r="AG43" i="14"/>
  <c r="AF43" i="14"/>
  <c r="AE43" i="14"/>
  <c r="AD43" i="14"/>
  <c r="AC43" i="14"/>
  <c r="AK43" i="14" s="1"/>
  <c r="AH42" i="14"/>
  <c r="AG42" i="14"/>
  <c r="AF42" i="14"/>
  <c r="AE42" i="14"/>
  <c r="AD42" i="14"/>
  <c r="AC42" i="14"/>
  <c r="AK42" i="14" s="1"/>
  <c r="AH41" i="14"/>
  <c r="AG41" i="14"/>
  <c r="AF41" i="14"/>
  <c r="AE41" i="14"/>
  <c r="AD41" i="14"/>
  <c r="AC41" i="14"/>
  <c r="AK41" i="14" s="1"/>
  <c r="AH40" i="14"/>
  <c r="AG40" i="14"/>
  <c r="AF40" i="14"/>
  <c r="AE40" i="14"/>
  <c r="AD40" i="14"/>
  <c r="AC40" i="14"/>
  <c r="AK40" i="14" s="1"/>
  <c r="AH39" i="14"/>
  <c r="AG39" i="14"/>
  <c r="AF39" i="14"/>
  <c r="AE39" i="14"/>
  <c r="AD39" i="14"/>
  <c r="AC39" i="14"/>
  <c r="AK39" i="14" s="1"/>
  <c r="AH38" i="14"/>
  <c r="AG38" i="14"/>
  <c r="AF38" i="14"/>
  <c r="AE38" i="14"/>
  <c r="AD38" i="14"/>
  <c r="AC38" i="14"/>
  <c r="AK38" i="14" s="1"/>
  <c r="AH37" i="14"/>
  <c r="AG37" i="14"/>
  <c r="AF37" i="14"/>
  <c r="AE37" i="14"/>
  <c r="AD37" i="14"/>
  <c r="AC37" i="14"/>
  <c r="AK37" i="14" s="1"/>
  <c r="AH36" i="14"/>
  <c r="AG36" i="14"/>
  <c r="AF36" i="14"/>
  <c r="AE36" i="14"/>
  <c r="AD36" i="14"/>
  <c r="AC36" i="14"/>
  <c r="AK36" i="14" s="1"/>
  <c r="AH35" i="14"/>
  <c r="AG35" i="14"/>
  <c r="AF35" i="14"/>
  <c r="AE35" i="14"/>
  <c r="AD35" i="14"/>
  <c r="AC35" i="14"/>
  <c r="AK35" i="14" s="1"/>
  <c r="AH34" i="14"/>
  <c r="AG34" i="14"/>
  <c r="AF34" i="14"/>
  <c r="AE34" i="14"/>
  <c r="AD34" i="14"/>
  <c r="AC34" i="14"/>
  <c r="AK34" i="14" s="1"/>
  <c r="AH33" i="14"/>
  <c r="AG33" i="14"/>
  <c r="AF33" i="14"/>
  <c r="AE33" i="14"/>
  <c r="AD33" i="14"/>
  <c r="AC33" i="14"/>
  <c r="AK33" i="14" s="1"/>
  <c r="AH32" i="14"/>
  <c r="AG32" i="14"/>
  <c r="AF32" i="14"/>
  <c r="AE32" i="14"/>
  <c r="AD32" i="14"/>
  <c r="AC32" i="14"/>
  <c r="AK32" i="14" s="1"/>
  <c r="AH31" i="14"/>
  <c r="AG31" i="14"/>
  <c r="AF31" i="14"/>
  <c r="AE31" i="14"/>
  <c r="AD31" i="14"/>
  <c r="AC31" i="14"/>
  <c r="AK31" i="14" s="1"/>
  <c r="AH30" i="14"/>
  <c r="AG30" i="14"/>
  <c r="AF30" i="14"/>
  <c r="AE30" i="14"/>
  <c r="AD30" i="14"/>
  <c r="AC30" i="14"/>
  <c r="AK30" i="14" s="1"/>
  <c r="AH29" i="14"/>
  <c r="AG29" i="14"/>
  <c r="AF29" i="14"/>
  <c r="AE29" i="14"/>
  <c r="AD29" i="14"/>
  <c r="AC29" i="14"/>
  <c r="AK29" i="14" s="1"/>
  <c r="AH28" i="14"/>
  <c r="AG28" i="14"/>
  <c r="AF28" i="14"/>
  <c r="AE28" i="14"/>
  <c r="AD28" i="14"/>
  <c r="AC28" i="14"/>
  <c r="AK28" i="14" s="1"/>
  <c r="AH27" i="14"/>
  <c r="AG27" i="14"/>
  <c r="AF27" i="14"/>
  <c r="AE27" i="14"/>
  <c r="AD27" i="14"/>
  <c r="AC27" i="14"/>
  <c r="AK27" i="14" s="1"/>
  <c r="AH26" i="14"/>
  <c r="AG26" i="14"/>
  <c r="AF26" i="14"/>
  <c r="AE26" i="14"/>
  <c r="AD26" i="14"/>
  <c r="AC26" i="14"/>
  <c r="AK26" i="14" s="1"/>
  <c r="AH25" i="14"/>
  <c r="AG25" i="14"/>
  <c r="AF25" i="14"/>
  <c r="AE25" i="14"/>
  <c r="AD25" i="14"/>
  <c r="AC25" i="14"/>
  <c r="AK25" i="14" s="1"/>
  <c r="AH24" i="14"/>
  <c r="AG24" i="14"/>
  <c r="AF24" i="14"/>
  <c r="AE24" i="14"/>
  <c r="AD24" i="14"/>
  <c r="AC24" i="14"/>
  <c r="AK24" i="14" s="1"/>
  <c r="AH23" i="14"/>
  <c r="AG23" i="14"/>
  <c r="AF23" i="14"/>
  <c r="AE23" i="14"/>
  <c r="AD23" i="14"/>
  <c r="AC23" i="14"/>
  <c r="AK23" i="14" s="1"/>
  <c r="AH22" i="14"/>
  <c r="AG22" i="14"/>
  <c r="AF22" i="14"/>
  <c r="AE22" i="14"/>
  <c r="AD22" i="14"/>
  <c r="AC22" i="14"/>
  <c r="AK22" i="14" s="1"/>
  <c r="AH21" i="14"/>
  <c r="AG21" i="14"/>
  <c r="AF21" i="14"/>
  <c r="AE21" i="14"/>
  <c r="AD21" i="14"/>
  <c r="AC21" i="14"/>
  <c r="AK21" i="14" s="1"/>
  <c r="AH20" i="14"/>
  <c r="AG20" i="14"/>
  <c r="AF20" i="14"/>
  <c r="AE20" i="14"/>
  <c r="AD20" i="14"/>
  <c r="AC20" i="14"/>
  <c r="AK20" i="14" s="1"/>
  <c r="AH19" i="14"/>
  <c r="AG19" i="14"/>
  <c r="AF19" i="14"/>
  <c r="AE19" i="14"/>
  <c r="AD19" i="14"/>
  <c r="AC19" i="14"/>
  <c r="AK19" i="14" s="1"/>
  <c r="AH18" i="14"/>
  <c r="AG18" i="14"/>
  <c r="AF18" i="14"/>
  <c r="AE18" i="14"/>
  <c r="AD18" i="14"/>
  <c r="AC18" i="14"/>
  <c r="AK18" i="14" s="1"/>
  <c r="AH17" i="14"/>
  <c r="AG17" i="14"/>
  <c r="AF17" i="14"/>
  <c r="AE17" i="14"/>
  <c r="AD17" i="14"/>
  <c r="AC17" i="14"/>
  <c r="AK17" i="14" s="1"/>
  <c r="AH16" i="14"/>
  <c r="AG16" i="14"/>
  <c r="AF16" i="14"/>
  <c r="AE16" i="14"/>
  <c r="AD16" i="14"/>
  <c r="AC16" i="14"/>
  <c r="AK16" i="14" s="1"/>
  <c r="AH15" i="14"/>
  <c r="AG15" i="14"/>
  <c r="AF15" i="14"/>
  <c r="AE15" i="14"/>
  <c r="AD15" i="14"/>
  <c r="AC15" i="14"/>
  <c r="AK15" i="14" s="1"/>
  <c r="AH14" i="14"/>
  <c r="AG14" i="14"/>
  <c r="AF14" i="14"/>
  <c r="AE14" i="14"/>
  <c r="AD14" i="14"/>
  <c r="AC14" i="14"/>
  <c r="AK14" i="14" s="1"/>
  <c r="AH13" i="14"/>
  <c r="AG13" i="14"/>
  <c r="AF13" i="14"/>
  <c r="AE13" i="14"/>
  <c r="AD13" i="14"/>
  <c r="AC13" i="14"/>
  <c r="AK13" i="14" s="1"/>
  <c r="AH12" i="14"/>
  <c r="AG12" i="14"/>
  <c r="AF12" i="14"/>
  <c r="AE12" i="14"/>
  <c r="AD12" i="14"/>
  <c r="AC12" i="14"/>
  <c r="AK12" i="14" s="1"/>
  <c r="AH11" i="14"/>
  <c r="AG11" i="14"/>
  <c r="AF11" i="14"/>
  <c r="AE11" i="14"/>
  <c r="AD11" i="14"/>
  <c r="AC11" i="14"/>
  <c r="AK11" i="14" s="1"/>
  <c r="AH10" i="14"/>
  <c r="AG10" i="14"/>
  <c r="AF10" i="14"/>
  <c r="AE10" i="14"/>
  <c r="AD10" i="14"/>
  <c r="AC10" i="14"/>
  <c r="AK10" i="14" s="1"/>
  <c r="AH9" i="14"/>
  <c r="AG9" i="14"/>
  <c r="AF9" i="14"/>
  <c r="AE9" i="14"/>
  <c r="AD9" i="14"/>
  <c r="AC9" i="14"/>
  <c r="AK9" i="14" s="1"/>
  <c r="AH8" i="14"/>
  <c r="AG8" i="14"/>
  <c r="AF8" i="14"/>
  <c r="AE8" i="14"/>
  <c r="AD8" i="14"/>
  <c r="AC8" i="14"/>
  <c r="AK8" i="14" s="1"/>
  <c r="AH7" i="14"/>
  <c r="AG7" i="14"/>
  <c r="AF7" i="14"/>
  <c r="AE7" i="14"/>
  <c r="AD7" i="14"/>
  <c r="AC7" i="14"/>
  <c r="AK7" i="14" s="1"/>
  <c r="AH6" i="14"/>
  <c r="AG6" i="14"/>
  <c r="AF6" i="14"/>
  <c r="AE6" i="14"/>
  <c r="AD6" i="14"/>
  <c r="AC6" i="14"/>
  <c r="AK6" i="14" s="1"/>
  <c r="AH5" i="14"/>
  <c r="AG5" i="14"/>
  <c r="AF5" i="14"/>
  <c r="AE5" i="14"/>
  <c r="AD5" i="14"/>
  <c r="AC5" i="14"/>
  <c r="AK5" i="14" s="1"/>
  <c r="AH4" i="14"/>
  <c r="AG4" i="14"/>
  <c r="AF4" i="14"/>
  <c r="AE4" i="14"/>
  <c r="AD4" i="14"/>
  <c r="AC4" i="14"/>
  <c r="AK4" i="14" s="1"/>
  <c r="AH3" i="14"/>
  <c r="AG3" i="14"/>
  <c r="AF3" i="14"/>
  <c r="AE3" i="14"/>
  <c r="AD3" i="14"/>
  <c r="AC3" i="14"/>
  <c r="AK3" i="14" s="1"/>
  <c r="AH2" i="14"/>
  <c r="AG2" i="14"/>
  <c r="AF2" i="14"/>
  <c r="AE2" i="14"/>
  <c r="AD2" i="14"/>
  <c r="AC2" i="14"/>
  <c r="AK2" i="14" s="1"/>
  <c r="AK45" i="14" l="1"/>
  <c r="AJ18" i="14"/>
  <c r="AI18" i="14"/>
  <c r="AJ19" i="14"/>
  <c r="AI19" i="14"/>
  <c r="AJ20" i="14"/>
  <c r="AI20" i="14"/>
  <c r="AJ21" i="14"/>
  <c r="AI21" i="14"/>
  <c r="AJ22" i="14"/>
  <c r="AI22" i="14"/>
  <c r="AJ23" i="14"/>
  <c r="AI23" i="14"/>
  <c r="AJ24" i="14"/>
  <c r="AI24" i="14"/>
  <c r="AJ25" i="14"/>
  <c r="AI25" i="14"/>
  <c r="AJ26" i="14"/>
  <c r="AI26" i="14"/>
  <c r="AJ27" i="14"/>
  <c r="AI27" i="14"/>
  <c r="AJ28" i="14"/>
  <c r="AI28" i="14"/>
  <c r="AJ29" i="14"/>
  <c r="AI29" i="14"/>
  <c r="AJ30" i="14"/>
  <c r="AI30" i="14"/>
  <c r="AJ31" i="14"/>
  <c r="AI31" i="14"/>
  <c r="AJ32" i="14"/>
  <c r="AI32" i="14"/>
  <c r="AJ33" i="14"/>
  <c r="AI33" i="14"/>
  <c r="AJ34" i="14"/>
  <c r="AI34" i="14"/>
  <c r="AJ35" i="14"/>
  <c r="AI35" i="14"/>
  <c r="AJ36" i="14"/>
  <c r="AI36" i="14"/>
  <c r="AJ37" i="14"/>
  <c r="AI37" i="14"/>
  <c r="AJ38" i="14"/>
  <c r="AI38" i="14"/>
  <c r="AJ39" i="14"/>
  <c r="AI39" i="14"/>
  <c r="AJ40" i="14"/>
  <c r="AI40" i="14"/>
  <c r="AJ41" i="14"/>
  <c r="AI41" i="14"/>
  <c r="AJ42" i="14"/>
  <c r="AI42" i="14"/>
  <c r="AJ43" i="14"/>
  <c r="AI43" i="14"/>
  <c r="AJ44" i="14"/>
  <c r="AI44" i="14"/>
  <c r="AJ45" i="14"/>
  <c r="AI45" i="14"/>
  <c r="AJ14" i="14"/>
  <c r="AI14" i="14"/>
  <c r="AJ15" i="14"/>
  <c r="AI15" i="14"/>
  <c r="AJ16" i="14"/>
  <c r="AI16" i="14"/>
  <c r="AJ17" i="14"/>
  <c r="AI17" i="14"/>
  <c r="AJ9" i="14"/>
  <c r="AI9" i="14"/>
  <c r="AJ10" i="14"/>
  <c r="AI10" i="14"/>
  <c r="AJ11" i="14"/>
  <c r="AI11" i="14"/>
  <c r="AJ12" i="14"/>
  <c r="AI12" i="14"/>
  <c r="AJ13" i="14"/>
  <c r="AI13" i="14"/>
  <c r="AJ6" i="14"/>
  <c r="AI6" i="14"/>
  <c r="AJ7" i="14"/>
  <c r="AI7" i="14"/>
  <c r="AJ8" i="14"/>
  <c r="AI8" i="14"/>
  <c r="AJ2" i="14"/>
  <c r="AI2" i="14"/>
  <c r="AJ3" i="14"/>
  <c r="AI3" i="14"/>
  <c r="AJ4" i="14"/>
  <c r="AI4" i="14"/>
  <c r="AJ5" i="14"/>
  <c r="AI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tc={CC083778-6681-4419-A091-E5FCB7E9D646}</author>
  </authors>
  <commentList>
    <comment ref="W1" authorId="0" shapeId="0" xr:uid="{CC083778-6681-4419-A091-E5FCB7E9D646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tc={D2803BFB-1AF8-4EF3-843C-F25CB02A9D0B}</author>
  </authors>
  <commentList>
    <comment ref="V1" authorId="0" shapeId="0" xr:uid="{D2803BFB-1AF8-4EF3-843C-F25CB02A9D0B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sharedStrings.xml><?xml version="1.0" encoding="utf-8"?>
<sst xmlns="http://schemas.openxmlformats.org/spreadsheetml/2006/main" count="535" uniqueCount="164">
  <si>
    <t>State</t>
  </si>
  <si>
    <t>Park Code</t>
  </si>
  <si>
    <t>Threshold</t>
  </si>
  <si>
    <t>Site Name</t>
  </si>
  <si>
    <t>Site Code</t>
  </si>
  <si>
    <t>Transect</t>
  </si>
  <si>
    <t>Year</t>
  </si>
  <si>
    <t>date_start</t>
  </si>
  <si>
    <t>date_end</t>
  </si>
  <si>
    <t>Total_HDH</t>
  </si>
  <si>
    <t>Total_CDH</t>
  </si>
  <si>
    <t>Mean_HDH_daily</t>
  </si>
  <si>
    <t>Mean_CDH_daily</t>
  </si>
  <si>
    <t>Max_HDH_daily</t>
  </si>
  <si>
    <t>mean_temp</t>
  </si>
  <si>
    <t>max_temp</t>
  </si>
  <si>
    <t>min_temp</t>
  </si>
  <si>
    <t>Duration_warmest_period_days</t>
  </si>
  <si>
    <t>Number_warming_events</t>
  </si>
  <si>
    <t>Mean_warming_event_duration_days</t>
  </si>
  <si>
    <t>SE_warming_event_duration_days</t>
  </si>
  <si>
    <t>n_days</t>
  </si>
  <si>
    <t>%_abv_thres</t>
  </si>
  <si>
    <t>Depth?</t>
  </si>
  <si>
    <t>Lat</t>
  </si>
  <si>
    <t>Long</t>
  </si>
  <si>
    <t>Notes</t>
  </si>
  <si>
    <t>Analysis</t>
  </si>
  <si>
    <t>Coverage_pct</t>
  </si>
  <si>
    <t>May</t>
  </si>
  <si>
    <t>June</t>
  </si>
  <si>
    <t>July</t>
  </si>
  <si>
    <t>August</t>
  </si>
  <si>
    <t>September</t>
  </si>
  <si>
    <t>Countif</t>
  </si>
  <si>
    <t>Season_Check</t>
  </si>
  <si>
    <t>All_check</t>
  </si>
  <si>
    <t>MA</t>
  </si>
  <si>
    <t>CACO</t>
  </si>
  <si>
    <t>Pleasant Bay</t>
  </si>
  <si>
    <t>CACO_Seagrass_MA20_2</t>
  </si>
  <si>
    <t>A</t>
  </si>
  <si>
    <t>B</t>
  </si>
  <si>
    <t>C</t>
  </si>
  <si>
    <t>Provincetown Harbor</t>
  </si>
  <si>
    <t>NCBN_OP_ERP_MA-PH</t>
  </si>
  <si>
    <t>MD</t>
  </si>
  <si>
    <t>ASIS</t>
  </si>
  <si>
    <t>Tingles Island</t>
  </si>
  <si>
    <t>ASIS_Seagrass Tingles Island</t>
  </si>
  <si>
    <t>NY</t>
  </si>
  <si>
    <t>FIIS</t>
  </si>
  <si>
    <t>Moriches Bay (Great Gun)</t>
  </si>
  <si>
    <t>FIIS_Seagrass_MB</t>
  </si>
  <si>
    <t>Great South Bay (Ho Hum Beach)</t>
  </si>
  <si>
    <t>FIIS_Seagrass_GSB</t>
  </si>
  <si>
    <t>NY11 GSB</t>
  </si>
  <si>
    <t>NCBN_FIIS_ERP_NY-GSB_NY11</t>
  </si>
  <si>
    <t>The Pines</t>
  </si>
  <si>
    <t>NCBN_FIIS_ERP_NY-PGSB</t>
  </si>
  <si>
    <t>Landscape Lab</t>
  </si>
  <si>
    <t>NCBN_OP_ERP_NY-LL</t>
  </si>
  <si>
    <t>Western Shinnecock</t>
  </si>
  <si>
    <t>NCBN_OP_ERP_NY-WS</t>
  </si>
  <si>
    <t>NC</t>
  </si>
  <si>
    <t>CAHA</t>
  </si>
  <si>
    <t>Avon North</t>
  </si>
  <si>
    <t>NCBN_OP_ERP_NC-AV</t>
  </si>
  <si>
    <t>Gull Island</t>
  </si>
  <si>
    <t>NCBN_OP_ERP_NC-GI</t>
  </si>
  <si>
    <t>Salvo</t>
  </si>
  <si>
    <t>NCBN_OP_ERP_NC-S</t>
  </si>
  <si>
    <t>VA</t>
  </si>
  <si>
    <t>NA</t>
  </si>
  <si>
    <t>Four Points</t>
  </si>
  <si>
    <t>NCBN_OP_ERP_VA-FPM</t>
  </si>
  <si>
    <t>Parramore</t>
  </si>
  <si>
    <t>NCBN_OP_ERP_VA-PM</t>
  </si>
  <si>
    <t>South Bay</t>
  </si>
  <si>
    <t>NCBN_OP_ERP_VA-SB</t>
  </si>
  <si>
    <t>CT</t>
  </si>
  <si>
    <t>Beebe Cove</t>
  </si>
  <si>
    <t>NCBN_OP_ERP_CT-BC</t>
  </si>
  <si>
    <t>Stonington</t>
  </si>
  <si>
    <t>NCBN_OP_ERP_CT-ST</t>
  </si>
  <si>
    <t>RI</t>
  </si>
  <si>
    <t>Ninigret Pond</t>
  </si>
  <si>
    <t>NCBN_OP_ERP_RI-NP</t>
  </si>
  <si>
    <t>Fort Wetherill</t>
  </si>
  <si>
    <t>NCBN_OP_ERP_RI-FW</t>
  </si>
  <si>
    <t>ME</t>
  </si>
  <si>
    <t>Cousins- Littlejohn</t>
  </si>
  <si>
    <t>NCBN_OP_ERP_ME-LJ</t>
  </si>
  <si>
    <t>Martin's Point</t>
  </si>
  <si>
    <t>NCBN_OP_ERP_ME-MP</t>
  </si>
  <si>
    <t>Mackworth North</t>
  </si>
  <si>
    <t>NCBN_OP_ERP_ME-MW</t>
  </si>
  <si>
    <t>ACAD</t>
  </si>
  <si>
    <t>Sand Cove</t>
  </si>
  <si>
    <t>NCBN_OP_ERP_ME-SC</t>
  </si>
  <si>
    <t>Ship Harbor</t>
  </si>
  <si>
    <t>NCBN_ACAD_ERP_ME-SH</t>
  </si>
  <si>
    <t>Holmes Bay</t>
  </si>
  <si>
    <t>NCBN_OP_ERP_ME-HB</t>
  </si>
  <si>
    <t>CALO</t>
  </si>
  <si>
    <t>Morgan Island</t>
  </si>
  <si>
    <t>NCBN_CALO_ERP_NC-MI</t>
  </si>
  <si>
    <t>Fisher's Island</t>
  </si>
  <si>
    <t>NCBN_OP_ERP_NY-FI</t>
  </si>
  <si>
    <t>Niles</t>
  </si>
  <si>
    <t>NCBN_OP_ERP_MA-NI</t>
  </si>
  <si>
    <t>Monomoy</t>
  </si>
  <si>
    <t>NCBN_OP_ERP_MA-T1</t>
  </si>
  <si>
    <t>West Island</t>
  </si>
  <si>
    <t>NCBN_OP_ERP_MA-WI</t>
  </si>
  <si>
    <t>Drum Inlet</t>
  </si>
  <si>
    <t>NCBN_OP_ERP_NC-DI</t>
  </si>
  <si>
    <t>Hatteras</t>
  </si>
  <si>
    <t>NCBN_OP_ERP_NC-HA</t>
  </si>
  <si>
    <t>Ocracroke</t>
  </si>
  <si>
    <t>NCBN_OP_ERP_NC-OK</t>
  </si>
  <si>
    <t>South Core</t>
  </si>
  <si>
    <t>NCBN_OP_ERP_NC-SC</t>
  </si>
  <si>
    <t>Sites were flagged as high risk when they simultaneously experienced above-average thermal stress and below-average cooling relative to other sites within the same state.</t>
  </si>
  <si>
    <t>“Because genomic sites only have one year of data and thresholds differ by state (28.6°C in NC/VA vs 25°C elsewhere), we defined thermal risk relative to each state’s distribution rather than using a single regional threshold.</t>
  </si>
  <si>
    <t>Lat (WGS 84)</t>
  </si>
  <si>
    <t>Long (WGS 84)</t>
  </si>
  <si>
    <t>Distance to Inlet (km)</t>
  </si>
  <si>
    <t>Used csv R script because of long datasets</t>
  </si>
  <si>
    <t>K. Button</t>
  </si>
  <si>
    <t>A. Brown</t>
  </si>
  <si>
    <t>Duck Harbor</t>
  </si>
  <si>
    <t>CACO_Seagrass_MA20_1</t>
  </si>
  <si>
    <t>Uncorrected- before logger exposures removed</t>
  </si>
  <si>
    <t>Uncorrected- no logger exposures removed</t>
  </si>
  <si>
    <t>East Harbor</t>
  </si>
  <si>
    <t>CACO_EH_Lagoon</t>
  </si>
  <si>
    <t>Not a seagrassnet transect</t>
  </si>
  <si>
    <t>Gray's Cove</t>
  </si>
  <si>
    <t>ASIS_Seagrass_Grays_Cove</t>
  </si>
  <si>
    <t>Wildcat</t>
  </si>
  <si>
    <t>ASIS_Seagrass_wildcat</t>
  </si>
  <si>
    <t>Shortened 2021 and 2023 data periods</t>
  </si>
  <si>
    <t>Shortened 2021 data period</t>
  </si>
  <si>
    <t>Shortened 2021 and 2024 data periods</t>
  </si>
  <si>
    <t>Madaket</t>
  </si>
  <si>
    <t>NCBN_OP_ERP_MA-MK</t>
  </si>
  <si>
    <t>Monomoy run with both 25 and 28.6 thresholds to compare</t>
  </si>
  <si>
    <t>BOHA</t>
  </si>
  <si>
    <t>Winthrop</t>
  </si>
  <si>
    <t>NCBN_OP_ERP_MA-WT</t>
  </si>
  <si>
    <t>Kettle Cove</t>
  </si>
  <si>
    <t>NCBN_OP_ERP_ME-KC</t>
  </si>
  <si>
    <t>Hungars Creek</t>
  </si>
  <si>
    <t>NCBN_OP_ERP_VA-HC</t>
  </si>
  <si>
    <t>NH</t>
  </si>
  <si>
    <t>Fort Stark</t>
  </si>
  <si>
    <t>NCBN_OP_ERP_NH-FS</t>
  </si>
  <si>
    <t>Removed outliers from dataset due to exposure from negative tides (NOAA station 8424601)</t>
  </si>
  <si>
    <t>Nahant</t>
  </si>
  <si>
    <t>NCBN_OP_ERP_MA-NH</t>
  </si>
  <si>
    <t>West Great Bay</t>
  </si>
  <si>
    <t>NCBN_OP_ERP_NH-GB</t>
  </si>
  <si>
    <t>Logger located at Burton's Bay, ~1.53 ± 0.43 deg C cooler than Parramore sampling location based on sonde point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</si>
</sst>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</font>
    <font>
      <sz val="11"/>
      <color rgb="FF000000"/>
      <name val="Aptos"/>
      <family val="2"/>
    </font>
    <font>
      <sz val="11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"/>
    </font>
    <font>
      <sz val="11"/>
      <color rgb="FF000000"/>
      <name val="Aptos Narrow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14" fontId="5" fillId="0" borderId="0" xfId="0" applyNumberFormat="1" applyFont="1"/>
    <xf numFmtId="14" fontId="2" fillId="3" borderId="0" xfId="0" applyNumberFormat="1" applyFont="1" applyFill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10" fillId="0" borderId="0" xfId="0" applyFont="1"/>
    <xf numFmtId="0" fontId="0" fillId="4" borderId="0" xfId="0" applyFill="1"/>
    <xf numFmtId="0" fontId="5" fillId="4" borderId="0" xfId="0" applyFont="1" applyFill="1"/>
    <xf numFmtId="0" fontId="9" fillId="4" borderId="0" xfId="0" applyFont="1" applyFill="1"/>
    <xf numFmtId="0" fontId="11" fillId="0" borderId="0" xfId="0" applyFont="1"/>
    <xf numFmtId="0" fontId="11" fillId="4" borderId="0" xfId="0" applyFont="1" applyFill="1"/>
    <xf numFmtId="14" fontId="5" fillId="5" borderId="0" xfId="0" applyNumberFormat="1" applyFont="1" applyFill="1"/>
    <xf numFmtId="0" fontId="5" fillId="5" borderId="0" xfId="0" applyFont="1" applyFill="1"/>
    <xf numFmtId="0" fontId="8" fillId="6" borderId="0" xfId="0" applyFont="1" applyFill="1"/>
    <xf numFmtId="0" fontId="9" fillId="0" borderId="0" xfId="0" applyFont="1"/>
    <xf numFmtId="0" fontId="0" fillId="5" borderId="0" xfId="0" applyFill="1"/>
    <xf numFmtId="0" fontId="8" fillId="5" borderId="0" xfId="0" applyFont="1" applyFill="1"/>
    <xf numFmtId="0" fontId="10" fillId="5" borderId="0" xfId="0" applyFont="1" applyFill="1"/>
    <xf numFmtId="0" fontId="10" fillId="7" borderId="0" xfId="0" applyFont="1" applyFill="1"/>
    <xf numFmtId="0" fontId="2" fillId="7" borderId="0" xfId="0" applyFont="1" applyFill="1"/>
    <xf numFmtId="0" fontId="0" fillId="7" borderId="0" xfId="0" applyFill="1"/>
    <xf numFmtId="14" fontId="2" fillId="7" borderId="0" xfId="0" applyNumberFormat="1" applyFont="1" applyFill="1"/>
    <xf numFmtId="0" fontId="9" fillId="0" borderId="0" xfId="0" applyFont="1" applyAlignment="1">
      <alignment wrapText="1"/>
    </xf>
    <xf numFmtId="0" fontId="2" fillId="5" borderId="0" xfId="0" applyFont="1" applyFill="1"/>
    <xf numFmtId="14" fontId="2" fillId="5" borderId="0" xfId="0" applyNumberFormat="1" applyFont="1" applyFill="1"/>
    <xf numFmtId="0" fontId="6" fillId="5" borderId="0" xfId="0" applyFont="1" applyFill="1"/>
    <xf numFmtId="0" fontId="6" fillId="5" borderId="0" xfId="0" applyFont="1" applyFill="1" applyAlignment="1">
      <alignment wrapText="1"/>
    </xf>
    <xf numFmtId="14" fontId="10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0" fontId="10" fillId="8" borderId="0" xfId="0" applyFont="1" applyFill="1"/>
    <xf numFmtId="0" fontId="5" fillId="8" borderId="0" xfId="0" applyFont="1" applyFill="1"/>
    <xf numFmtId="0" fontId="9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tton, Kaitlyn L" id="{FB76C839-DD8F-43F0-A88D-362DAB0B2E13}" userId="S::kaitlyn_button_nps.gov#ext#@uncw4.onmicrosoft.com::7a80a41d-b26d-47f2-a0e9-d2f539f3b0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dT="2026-01-30T18:49:24.18" personId="{FB76C839-DD8F-43F0-A88D-362DAB0B2E13}" id="{CC083778-6681-4419-A091-E5FCB7E9D646}">
    <text>On daily tab, need to confirm with Jessie how to report? (i.e, mean, max)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1" dT="2026-01-30T18:49:24.18" personId="{FB76C839-DD8F-43F0-A88D-362DAB0B2E13}" id="{D2803BFB-1AF8-4EF3-843C-F25CB02A9D0B}">
    <text>On daily tab, need to confirm with Jessie how to report? (i.e, mean, max)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F46C-5BFA-4D5A-9D18-26CDC661895B}">
  <dimension ref="A1:AL45"/>
  <sheetViews>
    <sheetView tabSelected="1" workbookViewId="0">
      <pane xSplit="17" ySplit="1" topLeftCell="R17" activePane="bottomRight" state="frozen"/>
      <selection pane="topRight" activeCell="R1" sqref="R1"/>
      <selection pane="bottomLeft" activeCell="A28" sqref="A28"/>
      <selection pane="bottomRight" activeCell="D50" sqref="D50"/>
    </sheetView>
  </sheetViews>
  <sheetFormatPr defaultRowHeight="15" x14ac:dyDescent="0.25"/>
  <cols>
    <col min="4" max="4" width="12.140625" bestFit="1" customWidth="1"/>
    <col min="5" max="5" width="25.42578125" customWidth="1"/>
    <col min="8" max="8" width="10.42578125" bestFit="1" customWidth="1"/>
    <col min="9" max="9" width="11.5703125" customWidth="1"/>
    <col min="10" max="10" width="12.7109375" customWidth="1"/>
    <col min="11" max="18" width="9.28515625" bestFit="1" customWidth="1"/>
    <col min="20" max="25" width="9.28515625" bestFit="1" customWidth="1"/>
  </cols>
  <sheetData>
    <row r="1" spans="1:3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8" x14ac:dyDescent="0.25">
      <c r="A2" t="s">
        <v>37</v>
      </c>
      <c r="B2" s="6" t="s">
        <v>38</v>
      </c>
      <c r="C2" s="6">
        <v>25</v>
      </c>
      <c r="D2" s="6" t="s">
        <v>39</v>
      </c>
      <c r="E2" s="7" t="s">
        <v>40</v>
      </c>
      <c r="F2" s="7" t="s">
        <v>41</v>
      </c>
      <c r="G2">
        <v>2024</v>
      </c>
      <c r="H2" s="9">
        <v>45413</v>
      </c>
      <c r="I2" s="9">
        <v>45565</v>
      </c>
      <c r="J2">
        <v>862.40899999999999</v>
      </c>
      <c r="K2">
        <v>-14074.324500000001</v>
      </c>
      <c r="L2">
        <v>5.6366601307189503</v>
      </c>
      <c r="M2">
        <v>-91.989049019607805</v>
      </c>
      <c r="N2">
        <v>57.884</v>
      </c>
      <c r="O2">
        <v>21.4019837962963</v>
      </c>
      <c r="P2">
        <v>30.11675</v>
      </c>
      <c r="Q2">
        <v>11.351749999999999</v>
      </c>
      <c r="R2">
        <v>17</v>
      </c>
      <c r="S2">
        <v>64</v>
      </c>
      <c r="T2">
        <v>0.388671875</v>
      </c>
      <c r="U2">
        <v>6.9252305421749399E-2</v>
      </c>
      <c r="V2">
        <v>153</v>
      </c>
      <c r="W2">
        <v>16.258169934640499</v>
      </c>
      <c r="Y2" s="24">
        <v>41.751730000000002</v>
      </c>
      <c r="Z2">
        <v>-69.955561399999993</v>
      </c>
      <c r="AC2" s="16">
        <f t="shared" ref="AC2:AC45" si="0">V2/153</f>
        <v>1</v>
      </c>
      <c r="AD2" s="16">
        <f t="shared" ref="AD2:AD45" si="1">MAX(0, MIN(I2, DATE(YEAR(H2),5,31)) - MAX(H2, DATE(YEAR(H2),5,1)) + 1)</f>
        <v>31</v>
      </c>
      <c r="AE2" s="16">
        <f t="shared" ref="AE2:AE45" si="2">MAX(0, MIN(I2, DATE(YEAR(H2),6,31)) - MAX(H2, DATE(YEAR(H2),6,1)) + 1)</f>
        <v>31</v>
      </c>
      <c r="AF2" s="16">
        <f t="shared" ref="AF2:AF45" si="3">MAX(0, MIN(I2, DATE(YEAR(H2),7,31)) - MAX(H2, DATE(YEAR(H2),7,1)) + 1)</f>
        <v>31</v>
      </c>
      <c r="AG2" s="16">
        <f t="shared" ref="AG2:AG45" si="4">MAX(0, MIN(I2, DATE(YEAR(H2),8,31)) - MAX(H2, DATE(YEAR(H2),8,1)) + 1)</f>
        <v>31</v>
      </c>
      <c r="AH2" s="16">
        <f t="shared" ref="AH2:AH45" si="5">MAX(0, MIN(I2, DATE(YEAR(H2),9,31)) - MAX(H2, DATE(YEAR(H2),9,1)) + 1)</f>
        <v>30</v>
      </c>
      <c r="AI2" s="16">
        <f t="shared" ref="AI2:AI45" si="6">COUNTIF(AD2:AH2, "&gt;=10")</f>
        <v>5</v>
      </c>
      <c r="AJ2" s="16" t="str">
        <f t="shared" ref="AJ2:AJ45" si="7">IF(COUNTIF(AD2:AH2,"&gt;=10")&gt;=3,"PASS","FAIL")</f>
        <v>PASS</v>
      </c>
      <c r="AK2" s="16" t="str">
        <f t="shared" ref="AK2:AK45" si="8">IF(AND(AC2&gt;=0.8, COUNTIF(AD2:AH2, "&gt;=10")&gt;=3), "PASS", "FAIL")</f>
        <v>PASS</v>
      </c>
    </row>
    <row r="3" spans="1:38" x14ac:dyDescent="0.25">
      <c r="A3" t="s">
        <v>37</v>
      </c>
      <c r="B3" s="6" t="s">
        <v>38</v>
      </c>
      <c r="C3" s="6">
        <v>25</v>
      </c>
      <c r="D3" s="6" t="s">
        <v>39</v>
      </c>
      <c r="E3" s="7" t="s">
        <v>40</v>
      </c>
      <c r="F3" s="7" t="s">
        <v>42</v>
      </c>
      <c r="G3">
        <v>2024</v>
      </c>
      <c r="H3" s="9">
        <v>45413</v>
      </c>
      <c r="I3" s="9">
        <v>45565</v>
      </c>
      <c r="J3">
        <v>594.89</v>
      </c>
      <c r="K3">
        <v>-14395.64675</v>
      </c>
      <c r="L3">
        <v>3.8881699346405201</v>
      </c>
      <c r="M3">
        <v>-94.089194444444402</v>
      </c>
      <c r="N3">
        <v>53.643999999999998</v>
      </c>
      <c r="O3">
        <v>21.2288474537037</v>
      </c>
      <c r="P3">
        <v>29.4085</v>
      </c>
      <c r="Q3">
        <v>11.23625</v>
      </c>
      <c r="R3">
        <v>17</v>
      </c>
      <c r="S3">
        <v>43</v>
      </c>
      <c r="T3">
        <v>0.45348837209302301</v>
      </c>
      <c r="U3">
        <v>0.110302485959583</v>
      </c>
      <c r="V3">
        <v>153</v>
      </c>
      <c r="W3">
        <v>12.7450980392157</v>
      </c>
      <c r="Y3" s="24">
        <v>41.751730000000002</v>
      </c>
      <c r="Z3">
        <v>-69.955561399999993</v>
      </c>
      <c r="AC3" s="16">
        <f t="shared" si="0"/>
        <v>1</v>
      </c>
      <c r="AD3" s="16">
        <f t="shared" si="1"/>
        <v>31</v>
      </c>
      <c r="AE3" s="16">
        <f t="shared" si="2"/>
        <v>31</v>
      </c>
      <c r="AF3" s="16">
        <f t="shared" si="3"/>
        <v>31</v>
      </c>
      <c r="AG3" s="16">
        <f t="shared" si="4"/>
        <v>31</v>
      </c>
      <c r="AH3" s="16">
        <f t="shared" si="5"/>
        <v>30</v>
      </c>
      <c r="AI3" s="16">
        <f t="shared" si="6"/>
        <v>5</v>
      </c>
      <c r="AJ3" s="16" t="str">
        <f t="shared" si="7"/>
        <v>PASS</v>
      </c>
      <c r="AK3" s="16" t="str">
        <f t="shared" si="8"/>
        <v>PASS</v>
      </c>
    </row>
    <row r="4" spans="1:38" x14ac:dyDescent="0.25">
      <c r="A4" t="s">
        <v>37</v>
      </c>
      <c r="B4" s="6" t="s">
        <v>38</v>
      </c>
      <c r="C4" s="6">
        <v>25</v>
      </c>
      <c r="D4" s="6" t="s">
        <v>39</v>
      </c>
      <c r="E4" s="7" t="s">
        <v>40</v>
      </c>
      <c r="F4" s="7" t="s">
        <v>43</v>
      </c>
      <c r="G4" s="1">
        <v>2024</v>
      </c>
      <c r="H4" s="9">
        <v>45413</v>
      </c>
      <c r="I4" s="9">
        <v>45565</v>
      </c>
      <c r="J4" s="1">
        <v>668.30150000000003</v>
      </c>
      <c r="K4" s="1">
        <v>-14404.8</v>
      </c>
      <c r="L4" s="1">
        <v>4.3679839999999999</v>
      </c>
      <c r="M4" s="1">
        <v>-94.149199999999993</v>
      </c>
      <c r="N4" s="1">
        <v>59.786749999999998</v>
      </c>
      <c r="O4" s="1">
        <v>21.259119999999999</v>
      </c>
      <c r="P4" s="1">
        <v>28.853750000000002</v>
      </c>
      <c r="Q4" s="1">
        <v>11.53425</v>
      </c>
      <c r="R4" s="1">
        <v>17</v>
      </c>
      <c r="S4" s="1">
        <v>47</v>
      </c>
      <c r="T4" s="1">
        <v>0.46187899999999998</v>
      </c>
      <c r="U4" s="1">
        <v>8.5837999999999998E-2</v>
      </c>
      <c r="V4" s="1">
        <v>153</v>
      </c>
      <c r="W4" s="1">
        <v>14.18845</v>
      </c>
      <c r="Y4" s="24">
        <v>41.751730000000002</v>
      </c>
      <c r="Z4">
        <v>-69.955561399999993</v>
      </c>
      <c r="AC4" s="16">
        <f t="shared" si="0"/>
        <v>1</v>
      </c>
      <c r="AD4" s="16">
        <f t="shared" si="1"/>
        <v>31</v>
      </c>
      <c r="AE4" s="16">
        <f t="shared" si="2"/>
        <v>31</v>
      </c>
      <c r="AF4" s="16">
        <f t="shared" si="3"/>
        <v>31</v>
      </c>
      <c r="AG4" s="16">
        <f t="shared" si="4"/>
        <v>31</v>
      </c>
      <c r="AH4" s="16">
        <f t="shared" si="5"/>
        <v>30</v>
      </c>
      <c r="AI4" s="16">
        <f t="shared" si="6"/>
        <v>5</v>
      </c>
      <c r="AJ4" s="16" t="str">
        <f t="shared" si="7"/>
        <v>PASS</v>
      </c>
      <c r="AK4" s="16" t="str">
        <f t="shared" si="8"/>
        <v>PASS</v>
      </c>
    </row>
    <row r="5" spans="1:38" x14ac:dyDescent="0.25">
      <c r="A5" t="s">
        <v>37</v>
      </c>
      <c r="B5" t="s">
        <v>38</v>
      </c>
      <c r="C5">
        <v>25</v>
      </c>
      <c r="D5" t="s">
        <v>44</v>
      </c>
      <c r="E5" s="15" t="s">
        <v>45</v>
      </c>
      <c r="F5" t="s">
        <v>43</v>
      </c>
      <c r="G5" s="15">
        <v>2024</v>
      </c>
      <c r="H5" s="9">
        <v>45413</v>
      </c>
      <c r="I5" s="9">
        <v>45565</v>
      </c>
      <c r="J5" s="15">
        <v>17.842500000000001</v>
      </c>
      <c r="K5" s="15">
        <v>-20644.882600000001</v>
      </c>
      <c r="L5" s="15">
        <v>0.13517045</v>
      </c>
      <c r="M5" s="15">
        <v>-156.40062499999999</v>
      </c>
      <c r="N5" s="15">
        <v>14.395250000000001</v>
      </c>
      <c r="O5" s="15">
        <v>18.438853300000002</v>
      </c>
      <c r="P5" s="15">
        <v>26.84225</v>
      </c>
      <c r="Q5" s="15">
        <v>7.9874999999999998</v>
      </c>
      <c r="R5" s="15">
        <v>5</v>
      </c>
      <c r="S5" s="15">
        <v>4</v>
      </c>
      <c r="T5" s="15">
        <v>0.32291667000000002</v>
      </c>
      <c r="U5" s="15">
        <v>0.14370974</v>
      </c>
      <c r="V5" s="15">
        <v>132</v>
      </c>
      <c r="W5" s="15">
        <v>0.98443950000000002</v>
      </c>
      <c r="Y5" s="25">
        <v>42.058399000000001</v>
      </c>
      <c r="Z5" s="25">
        <v>-70.161844000000002</v>
      </c>
      <c r="AC5" s="16">
        <f t="shared" si="0"/>
        <v>0.86274509803921573</v>
      </c>
      <c r="AD5" s="16">
        <f t="shared" si="1"/>
        <v>31</v>
      </c>
      <c r="AE5" s="16">
        <f t="shared" si="2"/>
        <v>31</v>
      </c>
      <c r="AF5" s="16">
        <f t="shared" si="3"/>
        <v>31</v>
      </c>
      <c r="AG5" s="16">
        <f t="shared" si="4"/>
        <v>31</v>
      </c>
      <c r="AH5" s="16">
        <f t="shared" si="5"/>
        <v>30</v>
      </c>
      <c r="AI5" s="16">
        <f t="shared" si="6"/>
        <v>5</v>
      </c>
      <c r="AJ5" s="16" t="str">
        <f t="shared" si="7"/>
        <v>PASS</v>
      </c>
      <c r="AK5" s="16" t="str">
        <f t="shared" si="8"/>
        <v>PASS</v>
      </c>
    </row>
    <row r="6" spans="1:38" x14ac:dyDescent="0.25">
      <c r="A6" t="s">
        <v>46</v>
      </c>
      <c r="B6" t="s">
        <v>47</v>
      </c>
      <c r="C6">
        <v>28.6</v>
      </c>
      <c r="D6" t="s">
        <v>48</v>
      </c>
      <c r="E6" t="s">
        <v>49</v>
      </c>
      <c r="F6" t="s">
        <v>41</v>
      </c>
      <c r="G6">
        <v>2024</v>
      </c>
      <c r="H6" s="9">
        <v>45413</v>
      </c>
      <c r="I6" s="9">
        <v>45565</v>
      </c>
      <c r="J6">
        <v>612.78899999999896</v>
      </c>
      <c r="K6">
        <v>-13948.665999999999</v>
      </c>
      <c r="L6">
        <v>4.00515686274509</v>
      </c>
      <c r="M6">
        <v>-91.167751633986995</v>
      </c>
      <c r="N6">
        <v>50.758499999999898</v>
      </c>
      <c r="O6">
        <v>24.9605083605665</v>
      </c>
      <c r="P6">
        <v>33.783000000000001</v>
      </c>
      <c r="Q6">
        <v>14.29</v>
      </c>
      <c r="R6">
        <v>27</v>
      </c>
      <c r="S6">
        <v>52</v>
      </c>
      <c r="T6">
        <v>0.37339743589743601</v>
      </c>
      <c r="U6">
        <v>6.2619936230239495E-2</v>
      </c>
      <c r="V6">
        <v>153</v>
      </c>
      <c r="W6">
        <v>12.6906318082789</v>
      </c>
      <c r="Y6" s="14">
        <v>38.187489999999997</v>
      </c>
      <c r="Z6" s="14">
        <v>-75.182500000000005</v>
      </c>
      <c r="AC6" s="16">
        <f t="shared" si="0"/>
        <v>1</v>
      </c>
      <c r="AD6" s="16">
        <f t="shared" si="1"/>
        <v>31</v>
      </c>
      <c r="AE6" s="16">
        <f t="shared" si="2"/>
        <v>31</v>
      </c>
      <c r="AF6" s="16">
        <f t="shared" si="3"/>
        <v>31</v>
      </c>
      <c r="AG6" s="16">
        <f t="shared" si="4"/>
        <v>31</v>
      </c>
      <c r="AH6" s="16">
        <f t="shared" si="5"/>
        <v>30</v>
      </c>
      <c r="AI6" s="16">
        <f t="shared" si="6"/>
        <v>5</v>
      </c>
      <c r="AJ6" s="16" t="str">
        <f t="shared" si="7"/>
        <v>PASS</v>
      </c>
      <c r="AK6" s="16" t="str">
        <f t="shared" si="8"/>
        <v>PASS</v>
      </c>
    </row>
    <row r="7" spans="1:38" x14ac:dyDescent="0.25">
      <c r="A7" t="s">
        <v>46</v>
      </c>
      <c r="B7" t="s">
        <v>47</v>
      </c>
      <c r="C7">
        <v>28.6</v>
      </c>
      <c r="D7" t="s">
        <v>48</v>
      </c>
      <c r="E7" t="s">
        <v>49</v>
      </c>
      <c r="F7" t="s">
        <v>42</v>
      </c>
      <c r="G7">
        <v>2024</v>
      </c>
      <c r="H7" s="9">
        <v>45413</v>
      </c>
      <c r="I7" s="9">
        <v>45565</v>
      </c>
      <c r="J7">
        <v>475.70399999999898</v>
      </c>
      <c r="K7">
        <v>-14063.189</v>
      </c>
      <c r="L7">
        <v>3.1091764705882299</v>
      </c>
      <c r="M7">
        <v>-91.916267973856193</v>
      </c>
      <c r="N7">
        <v>48.065999999999903</v>
      </c>
      <c r="O7">
        <v>24.891759449891101</v>
      </c>
      <c r="P7">
        <v>33.338999999999999</v>
      </c>
      <c r="Q7">
        <v>14.733000000000001</v>
      </c>
      <c r="R7">
        <v>13</v>
      </c>
      <c r="S7">
        <v>38</v>
      </c>
      <c r="T7">
        <v>0.45065789473684198</v>
      </c>
      <c r="U7">
        <v>9.1509402998712006E-2</v>
      </c>
      <c r="V7">
        <v>153</v>
      </c>
      <c r="W7">
        <v>11.1928104575163</v>
      </c>
      <c r="Y7" s="14">
        <v>38.187489999999997</v>
      </c>
      <c r="Z7" s="14">
        <v>-75.182500000000005</v>
      </c>
      <c r="AC7" s="16">
        <f t="shared" si="0"/>
        <v>1</v>
      </c>
      <c r="AD7" s="16">
        <f t="shared" si="1"/>
        <v>31</v>
      </c>
      <c r="AE7" s="16">
        <f t="shared" si="2"/>
        <v>31</v>
      </c>
      <c r="AF7" s="16">
        <f t="shared" si="3"/>
        <v>31</v>
      </c>
      <c r="AG7" s="16">
        <f t="shared" si="4"/>
        <v>31</v>
      </c>
      <c r="AH7" s="16">
        <f t="shared" si="5"/>
        <v>30</v>
      </c>
      <c r="AI7" s="16">
        <f t="shared" si="6"/>
        <v>5</v>
      </c>
      <c r="AJ7" s="16" t="str">
        <f t="shared" si="7"/>
        <v>PASS</v>
      </c>
      <c r="AK7" s="16" t="str">
        <f t="shared" si="8"/>
        <v>PASS</v>
      </c>
    </row>
    <row r="8" spans="1:38" x14ac:dyDescent="0.25">
      <c r="A8" t="s">
        <v>46</v>
      </c>
      <c r="B8" t="s">
        <v>47</v>
      </c>
      <c r="C8">
        <v>28.6</v>
      </c>
      <c r="D8" t="s">
        <v>48</v>
      </c>
      <c r="E8" t="s">
        <v>49</v>
      </c>
      <c r="F8" t="s">
        <v>43</v>
      </c>
      <c r="G8">
        <v>2024</v>
      </c>
      <c r="H8" s="9">
        <v>45413</v>
      </c>
      <c r="I8" s="9">
        <v>45565</v>
      </c>
      <c r="J8">
        <v>357.76649999999898</v>
      </c>
      <c r="K8">
        <v>-14383.666999999999</v>
      </c>
      <c r="L8">
        <v>2.3383431372549</v>
      </c>
      <c r="M8">
        <v>-94.010895424836605</v>
      </c>
      <c r="N8">
        <v>43.421500000000002</v>
      </c>
      <c r="O8">
        <v>24.772286928104599</v>
      </c>
      <c r="P8">
        <v>31.816500000000001</v>
      </c>
      <c r="Q8">
        <v>15.019500000000001</v>
      </c>
      <c r="R8">
        <v>8</v>
      </c>
      <c r="S8">
        <v>28</v>
      </c>
      <c r="T8">
        <v>0.50446428571428603</v>
      </c>
      <c r="U8">
        <v>0.13479991632961399</v>
      </c>
      <c r="V8">
        <v>153</v>
      </c>
      <c r="W8">
        <v>9.2320261437908506</v>
      </c>
      <c r="Y8" s="14">
        <v>38.187489999999997</v>
      </c>
      <c r="Z8" s="14">
        <v>-75.182500000000005</v>
      </c>
      <c r="AC8" s="16">
        <f t="shared" si="0"/>
        <v>1</v>
      </c>
      <c r="AD8" s="16">
        <f t="shared" si="1"/>
        <v>31</v>
      </c>
      <c r="AE8" s="16">
        <f t="shared" si="2"/>
        <v>31</v>
      </c>
      <c r="AF8" s="16">
        <f t="shared" si="3"/>
        <v>31</v>
      </c>
      <c r="AG8" s="16">
        <f t="shared" si="4"/>
        <v>31</v>
      </c>
      <c r="AH8" s="16">
        <f t="shared" si="5"/>
        <v>30</v>
      </c>
      <c r="AI8" s="16">
        <f t="shared" si="6"/>
        <v>5</v>
      </c>
      <c r="AJ8" s="16" t="str">
        <f t="shared" si="7"/>
        <v>PASS</v>
      </c>
      <c r="AK8" s="16" t="str">
        <f t="shared" si="8"/>
        <v>PASS</v>
      </c>
    </row>
    <row r="9" spans="1:38" x14ac:dyDescent="0.25">
      <c r="A9" s="26" t="s">
        <v>50</v>
      </c>
      <c r="B9" s="26" t="s">
        <v>51</v>
      </c>
      <c r="C9" s="26">
        <v>28.6</v>
      </c>
      <c r="D9" s="26" t="s">
        <v>52</v>
      </c>
      <c r="E9" s="26" t="s">
        <v>53</v>
      </c>
      <c r="F9" s="26" t="s">
        <v>41</v>
      </c>
      <c r="G9" s="26">
        <v>2024</v>
      </c>
      <c r="H9" s="22">
        <v>45413</v>
      </c>
      <c r="I9" s="22">
        <v>45565</v>
      </c>
      <c r="J9" s="26">
        <v>24.288333333333298</v>
      </c>
      <c r="K9" s="26">
        <v>-26751.208999999999</v>
      </c>
      <c r="L9" s="26">
        <v>0.15874727668845301</v>
      </c>
      <c r="M9" s="26">
        <v>-174.84450326797401</v>
      </c>
      <c r="N9" s="26">
        <v>6.3657499999999896</v>
      </c>
      <c r="O9" s="26">
        <v>21.304840150689898</v>
      </c>
      <c r="P9" s="26">
        <v>30.167000000000002</v>
      </c>
      <c r="Q9" s="26">
        <v>11.212</v>
      </c>
      <c r="R9" s="26">
        <v>3</v>
      </c>
      <c r="S9" s="26">
        <v>9</v>
      </c>
      <c r="T9" s="26">
        <v>0.148148148148148</v>
      </c>
      <c r="U9" s="26">
        <v>1.85185185185185E-2</v>
      </c>
      <c r="V9" s="26">
        <v>153</v>
      </c>
      <c r="W9" s="26">
        <v>0.87145969498910703</v>
      </c>
      <c r="X9" s="26"/>
      <c r="Y9" s="27">
        <v>40.766390000000001</v>
      </c>
      <c r="Z9" s="27">
        <v>-72.787999999999997</v>
      </c>
      <c r="AA9" s="26"/>
      <c r="AB9" s="26"/>
      <c r="AC9" s="28">
        <f t="shared" si="0"/>
        <v>1</v>
      </c>
      <c r="AD9" s="28">
        <f t="shared" si="1"/>
        <v>31</v>
      </c>
      <c r="AE9" s="28">
        <f t="shared" si="2"/>
        <v>31</v>
      </c>
      <c r="AF9" s="28">
        <f t="shared" si="3"/>
        <v>31</v>
      </c>
      <c r="AG9" s="28">
        <f t="shared" si="4"/>
        <v>31</v>
      </c>
      <c r="AH9" s="28">
        <f t="shared" si="5"/>
        <v>30</v>
      </c>
      <c r="AI9" s="28">
        <f t="shared" si="6"/>
        <v>5</v>
      </c>
      <c r="AJ9" s="28" t="str">
        <f t="shared" si="7"/>
        <v>PASS</v>
      </c>
      <c r="AK9" s="28" t="str">
        <f t="shared" si="8"/>
        <v>PASS</v>
      </c>
      <c r="AL9" s="26"/>
    </row>
    <row r="10" spans="1:38" x14ac:dyDescent="0.25">
      <c r="A10" s="26" t="s">
        <v>50</v>
      </c>
      <c r="B10" s="26" t="s">
        <v>51</v>
      </c>
      <c r="C10" s="26">
        <v>28.6</v>
      </c>
      <c r="D10" s="26" t="s">
        <v>52</v>
      </c>
      <c r="E10" s="26" t="s">
        <v>53</v>
      </c>
      <c r="F10" s="26" t="s">
        <v>42</v>
      </c>
      <c r="G10" s="26">
        <v>2024</v>
      </c>
      <c r="H10" s="22">
        <v>45413</v>
      </c>
      <c r="I10" s="22">
        <v>45565</v>
      </c>
      <c r="J10" s="26">
        <v>15.740416666666601</v>
      </c>
      <c r="K10" s="26">
        <v>-27109.653750000001</v>
      </c>
      <c r="L10" s="26">
        <v>0.10287854030501099</v>
      </c>
      <c r="M10" s="26">
        <v>-177.18727941176499</v>
      </c>
      <c r="N10" s="26">
        <v>5.7029999999999896</v>
      </c>
      <c r="O10" s="26">
        <v>21.204837000726201</v>
      </c>
      <c r="P10" s="26">
        <v>30.047499999999999</v>
      </c>
      <c r="Q10" s="26">
        <v>11.236000000000001</v>
      </c>
      <c r="R10" s="26">
        <v>3</v>
      </c>
      <c r="S10" s="26">
        <v>8</v>
      </c>
      <c r="T10" s="26">
        <v>0.13541666666666699</v>
      </c>
      <c r="U10" s="26">
        <v>2.1921011700381299E-2</v>
      </c>
      <c r="V10" s="26">
        <v>153</v>
      </c>
      <c r="W10" s="26">
        <v>0.70806100217864898</v>
      </c>
      <c r="X10" s="26"/>
      <c r="Y10" s="27">
        <v>40.766390000000001</v>
      </c>
      <c r="Z10" s="27">
        <v>-72.787999999999997</v>
      </c>
      <c r="AA10" s="26"/>
      <c r="AB10" s="26"/>
      <c r="AC10" s="28">
        <f t="shared" si="0"/>
        <v>1</v>
      </c>
      <c r="AD10" s="28">
        <f t="shared" si="1"/>
        <v>31</v>
      </c>
      <c r="AE10" s="28">
        <f t="shared" si="2"/>
        <v>31</v>
      </c>
      <c r="AF10" s="28">
        <f t="shared" si="3"/>
        <v>31</v>
      </c>
      <c r="AG10" s="28">
        <f t="shared" si="4"/>
        <v>31</v>
      </c>
      <c r="AH10" s="28">
        <f t="shared" si="5"/>
        <v>30</v>
      </c>
      <c r="AI10" s="28">
        <f t="shared" si="6"/>
        <v>5</v>
      </c>
      <c r="AJ10" s="28" t="str">
        <f t="shared" si="7"/>
        <v>PASS</v>
      </c>
      <c r="AK10" s="28" t="str">
        <f t="shared" si="8"/>
        <v>PASS</v>
      </c>
      <c r="AL10" s="26"/>
    </row>
    <row r="11" spans="1:38" x14ac:dyDescent="0.25">
      <c r="A11" s="26" t="s">
        <v>50</v>
      </c>
      <c r="B11" s="26" t="s">
        <v>51</v>
      </c>
      <c r="C11" s="26">
        <v>28.6</v>
      </c>
      <c r="D11" s="26" t="s">
        <v>54</v>
      </c>
      <c r="E11" s="26" t="s">
        <v>55</v>
      </c>
      <c r="F11" s="26" t="s">
        <v>41</v>
      </c>
      <c r="G11" s="26">
        <v>2024</v>
      </c>
      <c r="H11" s="22">
        <v>45413</v>
      </c>
      <c r="I11" s="22">
        <v>45565</v>
      </c>
      <c r="J11" s="26">
        <v>153.40174999999999</v>
      </c>
      <c r="K11" s="26">
        <v>-19282.809916666702</v>
      </c>
      <c r="L11" s="26">
        <v>1.0026258169934601</v>
      </c>
      <c r="M11" s="26">
        <v>-126.031437363834</v>
      </c>
      <c r="N11" s="26">
        <v>19.10425</v>
      </c>
      <c r="O11" s="26">
        <v>23.377333396877301</v>
      </c>
      <c r="P11" s="26">
        <v>30.874500000000001</v>
      </c>
      <c r="Q11" s="26">
        <v>13.593999999999999</v>
      </c>
      <c r="R11" s="26">
        <v>8</v>
      </c>
      <c r="S11" s="26">
        <v>24</v>
      </c>
      <c r="T11" s="26">
        <v>0.34722222222222199</v>
      </c>
      <c r="U11" s="26">
        <v>4.2092230927514199E-2</v>
      </c>
      <c r="V11" s="26">
        <v>153</v>
      </c>
      <c r="W11" s="26">
        <v>5.4466230936819198</v>
      </c>
      <c r="X11" s="26"/>
      <c r="Y11" s="27">
        <v>40.719639999999998</v>
      </c>
      <c r="Z11" s="27">
        <v>-72.938199999999995</v>
      </c>
      <c r="AA11" s="26"/>
      <c r="AB11" s="26"/>
      <c r="AC11" s="28">
        <f t="shared" si="0"/>
        <v>1</v>
      </c>
      <c r="AD11" s="28">
        <f t="shared" si="1"/>
        <v>31</v>
      </c>
      <c r="AE11" s="28">
        <f t="shared" si="2"/>
        <v>31</v>
      </c>
      <c r="AF11" s="28">
        <f t="shared" si="3"/>
        <v>31</v>
      </c>
      <c r="AG11" s="28">
        <f t="shared" si="4"/>
        <v>31</v>
      </c>
      <c r="AH11" s="28">
        <f t="shared" si="5"/>
        <v>30</v>
      </c>
      <c r="AI11" s="28">
        <f t="shared" si="6"/>
        <v>5</v>
      </c>
      <c r="AJ11" s="28" t="str">
        <f t="shared" si="7"/>
        <v>PASS</v>
      </c>
      <c r="AK11" s="28" t="str">
        <f t="shared" si="8"/>
        <v>PASS</v>
      </c>
      <c r="AL11" s="26"/>
    </row>
    <row r="12" spans="1:38" x14ac:dyDescent="0.25">
      <c r="A12" s="26" t="s">
        <v>50</v>
      </c>
      <c r="B12" s="26" t="s">
        <v>51</v>
      </c>
      <c r="C12" s="26">
        <v>28.6</v>
      </c>
      <c r="D12" s="26" t="s">
        <v>54</v>
      </c>
      <c r="E12" s="26" t="s">
        <v>55</v>
      </c>
      <c r="F12" s="26" t="s">
        <v>42</v>
      </c>
      <c r="G12" s="26">
        <v>2024</v>
      </c>
      <c r="H12" s="22">
        <v>45413</v>
      </c>
      <c r="I12" s="22">
        <v>45565</v>
      </c>
      <c r="J12" s="26">
        <v>107.59399999999999</v>
      </c>
      <c r="K12" s="26">
        <v>-19712.407500000001</v>
      </c>
      <c r="L12" s="26">
        <v>0.70322875816993302</v>
      </c>
      <c r="M12" s="26">
        <v>-128.83926470588199</v>
      </c>
      <c r="N12" s="26">
        <v>18.356000000000002</v>
      </c>
      <c r="O12" s="26">
        <v>23.247859204792999</v>
      </c>
      <c r="P12" s="26">
        <v>30.975999999999999</v>
      </c>
      <c r="Q12" s="26">
        <v>13.509499999999999</v>
      </c>
      <c r="R12" s="26">
        <v>6</v>
      </c>
      <c r="S12" s="26">
        <v>17</v>
      </c>
      <c r="T12" s="26">
        <v>0.355392156862745</v>
      </c>
      <c r="U12" s="26">
        <v>8.2881560877014301E-2</v>
      </c>
      <c r="V12" s="26">
        <v>153</v>
      </c>
      <c r="W12" s="26">
        <v>3.94880174291939</v>
      </c>
      <c r="X12" s="26"/>
      <c r="Y12" s="27">
        <v>40.719639999999998</v>
      </c>
      <c r="Z12" s="27">
        <v>-72.938199999999995</v>
      </c>
      <c r="AA12" s="26"/>
      <c r="AB12" s="26"/>
      <c r="AC12" s="28">
        <f t="shared" si="0"/>
        <v>1</v>
      </c>
      <c r="AD12" s="28">
        <f t="shared" si="1"/>
        <v>31</v>
      </c>
      <c r="AE12" s="28">
        <f t="shared" si="2"/>
        <v>31</v>
      </c>
      <c r="AF12" s="28">
        <f t="shared" si="3"/>
        <v>31</v>
      </c>
      <c r="AG12" s="28">
        <f t="shared" si="4"/>
        <v>31</v>
      </c>
      <c r="AH12" s="28">
        <f t="shared" si="5"/>
        <v>30</v>
      </c>
      <c r="AI12" s="28">
        <f t="shared" si="6"/>
        <v>5</v>
      </c>
      <c r="AJ12" s="28" t="str">
        <f t="shared" si="7"/>
        <v>PASS</v>
      </c>
      <c r="AK12" s="28" t="str">
        <f t="shared" si="8"/>
        <v>PASS</v>
      </c>
      <c r="AL12" s="26"/>
    </row>
    <row r="13" spans="1:38" x14ac:dyDescent="0.25">
      <c r="A13" s="26" t="s">
        <v>50</v>
      </c>
      <c r="B13" s="26" t="s">
        <v>51</v>
      </c>
      <c r="C13" s="26">
        <v>28.6</v>
      </c>
      <c r="D13" s="26" t="s">
        <v>54</v>
      </c>
      <c r="E13" s="26" t="s">
        <v>55</v>
      </c>
      <c r="F13" s="26" t="s">
        <v>43</v>
      </c>
      <c r="G13" s="26">
        <v>2024</v>
      </c>
      <c r="H13" s="22">
        <v>45413</v>
      </c>
      <c r="I13" s="22">
        <v>45565</v>
      </c>
      <c r="J13" s="26">
        <v>36.500499999999903</v>
      </c>
      <c r="K13" s="26">
        <v>-20127.84475</v>
      </c>
      <c r="L13" s="26">
        <v>0.23856535947712301</v>
      </c>
      <c r="M13" s="26">
        <v>-131.554540849673</v>
      </c>
      <c r="N13" s="26">
        <v>10.38725</v>
      </c>
      <c r="O13" s="26">
        <v>23.114745601851901</v>
      </c>
      <c r="P13" s="26">
        <v>30.2805</v>
      </c>
      <c r="Q13" s="26">
        <v>13.773999999999999</v>
      </c>
      <c r="R13" s="26">
        <v>6</v>
      </c>
      <c r="S13" s="26">
        <v>9</v>
      </c>
      <c r="T13" s="26">
        <v>0.30555555555555602</v>
      </c>
      <c r="U13" s="26">
        <v>6.4024614286756196E-2</v>
      </c>
      <c r="V13" s="26">
        <v>153</v>
      </c>
      <c r="W13" s="26">
        <v>1.7973856209150301</v>
      </c>
      <c r="X13" s="26"/>
      <c r="Y13" s="27">
        <v>40.719639999999998</v>
      </c>
      <c r="Z13" s="27">
        <v>-72.938199999999995</v>
      </c>
      <c r="AA13" s="26"/>
      <c r="AB13" s="26"/>
      <c r="AC13" s="28">
        <f t="shared" si="0"/>
        <v>1</v>
      </c>
      <c r="AD13" s="28">
        <f t="shared" si="1"/>
        <v>31</v>
      </c>
      <c r="AE13" s="28">
        <f t="shared" si="2"/>
        <v>31</v>
      </c>
      <c r="AF13" s="28">
        <f t="shared" si="3"/>
        <v>31</v>
      </c>
      <c r="AG13" s="28">
        <f t="shared" si="4"/>
        <v>31</v>
      </c>
      <c r="AH13" s="28">
        <f t="shared" si="5"/>
        <v>30</v>
      </c>
      <c r="AI13" s="28">
        <f t="shared" si="6"/>
        <v>5</v>
      </c>
      <c r="AJ13" s="28" t="str">
        <f t="shared" si="7"/>
        <v>PASS</v>
      </c>
      <c r="AK13" s="28" t="str">
        <f t="shared" si="8"/>
        <v>PASS</v>
      </c>
      <c r="AL13" s="26"/>
    </row>
    <row r="14" spans="1:38" x14ac:dyDescent="0.25">
      <c r="A14" s="26" t="s">
        <v>50</v>
      </c>
      <c r="B14" s="26" t="s">
        <v>51</v>
      </c>
      <c r="C14" s="26">
        <v>28.6</v>
      </c>
      <c r="D14" s="26" t="s">
        <v>56</v>
      </c>
      <c r="E14" s="34" t="s">
        <v>57</v>
      </c>
      <c r="F14" s="26"/>
      <c r="G14" s="34">
        <v>2024</v>
      </c>
      <c r="H14" s="35">
        <v>45413</v>
      </c>
      <c r="I14" s="35">
        <v>45565</v>
      </c>
      <c r="J14" s="34">
        <v>49.159500000000001</v>
      </c>
      <c r="K14" s="34">
        <v>-20863.0978</v>
      </c>
      <c r="L14" s="34">
        <v>0.32130392000000002</v>
      </c>
      <c r="M14" s="34">
        <v>-136.360116</v>
      </c>
      <c r="N14" s="34">
        <v>13.01925</v>
      </c>
      <c r="O14" s="34">
        <v>22.9179131</v>
      </c>
      <c r="P14" s="34">
        <v>31.293500000000002</v>
      </c>
      <c r="Q14" s="34">
        <v>13.773999999999999</v>
      </c>
      <c r="R14" s="34">
        <v>6</v>
      </c>
      <c r="S14" s="34">
        <v>12</v>
      </c>
      <c r="T14" s="34">
        <v>0.1875</v>
      </c>
      <c r="U14" s="34">
        <v>2.8785390000000001E-2</v>
      </c>
      <c r="V14" s="34">
        <v>153</v>
      </c>
      <c r="W14" s="34">
        <v>1.4705882400000001</v>
      </c>
      <c r="X14" s="26"/>
      <c r="Y14" s="36">
        <v>40.660730000000001</v>
      </c>
      <c r="Z14" s="37">
        <v>-73.200599999999994</v>
      </c>
      <c r="AA14" s="26"/>
      <c r="AB14" s="26"/>
      <c r="AC14" s="28">
        <f t="shared" si="0"/>
        <v>1</v>
      </c>
      <c r="AD14" s="28">
        <f t="shared" si="1"/>
        <v>31</v>
      </c>
      <c r="AE14" s="28">
        <f t="shared" si="2"/>
        <v>31</v>
      </c>
      <c r="AF14" s="28">
        <f t="shared" si="3"/>
        <v>31</v>
      </c>
      <c r="AG14" s="28">
        <f t="shared" si="4"/>
        <v>31</v>
      </c>
      <c r="AH14" s="28">
        <f t="shared" si="5"/>
        <v>30</v>
      </c>
      <c r="AI14" s="28">
        <f t="shared" si="6"/>
        <v>5</v>
      </c>
      <c r="AJ14" s="28" t="str">
        <f t="shared" si="7"/>
        <v>PASS</v>
      </c>
      <c r="AK14" s="28" t="str">
        <f t="shared" si="8"/>
        <v>PASS</v>
      </c>
      <c r="AL14" s="26"/>
    </row>
    <row r="15" spans="1:38" x14ac:dyDescent="0.25">
      <c r="A15" s="26" t="s">
        <v>50</v>
      </c>
      <c r="B15" s="26" t="s">
        <v>51</v>
      </c>
      <c r="C15" s="26">
        <v>28.6</v>
      </c>
      <c r="D15" s="26" t="s">
        <v>58</v>
      </c>
      <c r="E15" s="34" t="s">
        <v>59</v>
      </c>
      <c r="F15" s="26"/>
      <c r="G15" s="34">
        <v>2025</v>
      </c>
      <c r="H15" s="35">
        <v>45778</v>
      </c>
      <c r="I15" s="35">
        <v>45930</v>
      </c>
      <c r="J15" s="34">
        <v>131.72550000000001</v>
      </c>
      <c r="K15" s="34">
        <v>-21997.607499999998</v>
      </c>
      <c r="L15" s="34">
        <v>0.86095098000000003</v>
      </c>
      <c r="M15" s="34">
        <v>-143.77521200000001</v>
      </c>
      <c r="N15" s="34">
        <v>26.622250000000001</v>
      </c>
      <c r="O15" s="34">
        <v>22.6324817</v>
      </c>
      <c r="P15" s="34">
        <v>30.558</v>
      </c>
      <c r="Q15" s="34">
        <v>12.449</v>
      </c>
      <c r="R15" s="34">
        <v>8</v>
      </c>
      <c r="S15" s="34">
        <v>14</v>
      </c>
      <c r="T15" s="34">
        <v>0.51488095</v>
      </c>
      <c r="U15" s="34">
        <v>0.11234872999999999</v>
      </c>
      <c r="V15" s="34">
        <v>153</v>
      </c>
      <c r="W15" s="34">
        <v>4.7113289800000002</v>
      </c>
      <c r="X15" s="26"/>
      <c r="Y15" s="27">
        <v>40.670960000000001</v>
      </c>
      <c r="Z15" s="27">
        <v>-73.057810000000003</v>
      </c>
      <c r="AA15" s="26"/>
      <c r="AB15" s="26"/>
      <c r="AC15" s="28">
        <f t="shared" si="0"/>
        <v>1</v>
      </c>
      <c r="AD15" s="28">
        <f t="shared" si="1"/>
        <v>31</v>
      </c>
      <c r="AE15" s="28">
        <f t="shared" si="2"/>
        <v>31</v>
      </c>
      <c r="AF15" s="28">
        <f t="shared" si="3"/>
        <v>31</v>
      </c>
      <c r="AG15" s="28">
        <f t="shared" si="4"/>
        <v>31</v>
      </c>
      <c r="AH15" s="28">
        <f t="shared" si="5"/>
        <v>30</v>
      </c>
      <c r="AI15" s="28">
        <f t="shared" si="6"/>
        <v>5</v>
      </c>
      <c r="AJ15" s="28" t="str">
        <f t="shared" si="7"/>
        <v>PASS</v>
      </c>
      <c r="AK15" s="28" t="str">
        <f t="shared" si="8"/>
        <v>PASS</v>
      </c>
      <c r="AL15" s="26"/>
    </row>
    <row r="16" spans="1:38" x14ac:dyDescent="0.25">
      <c r="A16" s="26" t="s">
        <v>50</v>
      </c>
      <c r="B16" s="26" t="s">
        <v>51</v>
      </c>
      <c r="C16" s="26">
        <v>28.6</v>
      </c>
      <c r="D16" s="26" t="s">
        <v>60</v>
      </c>
      <c r="E16" s="34" t="s">
        <v>61</v>
      </c>
      <c r="F16" s="26"/>
      <c r="G16" s="26">
        <v>2024</v>
      </c>
      <c r="H16" s="35">
        <v>45413</v>
      </c>
      <c r="I16" s="35">
        <v>45565</v>
      </c>
      <c r="J16" s="34">
        <v>9.4629999999999992</v>
      </c>
      <c r="K16" s="34">
        <v>-26366.386500000001</v>
      </c>
      <c r="L16" s="34">
        <v>6.1849670000000002E-2</v>
      </c>
      <c r="M16" s="34">
        <v>-172.32932400000001</v>
      </c>
      <c r="N16" s="34">
        <v>3.2887499999999998</v>
      </c>
      <c r="O16" s="34">
        <v>21.405969899999999</v>
      </c>
      <c r="P16" s="34">
        <v>29.928249999999998</v>
      </c>
      <c r="Q16" s="34">
        <v>11.794750000000001</v>
      </c>
      <c r="R16" s="34">
        <v>2</v>
      </c>
      <c r="S16" s="34">
        <v>9</v>
      </c>
      <c r="T16" s="34">
        <v>8.3333329999999997E-2</v>
      </c>
      <c r="U16" s="34">
        <v>1.3888889999999999E-2</v>
      </c>
      <c r="V16" s="34">
        <v>153</v>
      </c>
      <c r="W16" s="34">
        <v>0.49019607999999998</v>
      </c>
      <c r="X16" s="26"/>
      <c r="Y16" s="27">
        <v>40.858483040000003</v>
      </c>
      <c r="Z16" s="27">
        <v>-72.447024979999995</v>
      </c>
      <c r="AA16" s="26"/>
      <c r="AB16" s="26"/>
      <c r="AC16" s="28">
        <f t="shared" si="0"/>
        <v>1</v>
      </c>
      <c r="AD16" s="28">
        <f t="shared" si="1"/>
        <v>31</v>
      </c>
      <c r="AE16" s="28">
        <f t="shared" si="2"/>
        <v>31</v>
      </c>
      <c r="AF16" s="28">
        <f t="shared" si="3"/>
        <v>31</v>
      </c>
      <c r="AG16" s="28">
        <f t="shared" si="4"/>
        <v>31</v>
      </c>
      <c r="AH16" s="28">
        <f t="shared" si="5"/>
        <v>30</v>
      </c>
      <c r="AI16" s="28">
        <f t="shared" si="6"/>
        <v>5</v>
      </c>
      <c r="AJ16" s="28" t="str">
        <f t="shared" si="7"/>
        <v>PASS</v>
      </c>
      <c r="AK16" s="28" t="str">
        <f t="shared" si="8"/>
        <v>PASS</v>
      </c>
      <c r="AL16" s="26"/>
    </row>
    <row r="17" spans="1:38" x14ac:dyDescent="0.25">
      <c r="A17" s="26" t="s">
        <v>50</v>
      </c>
      <c r="B17" s="26" t="s">
        <v>51</v>
      </c>
      <c r="C17" s="26">
        <v>28.6</v>
      </c>
      <c r="D17" s="26" t="s">
        <v>62</v>
      </c>
      <c r="E17" s="34" t="s">
        <v>63</v>
      </c>
      <c r="F17" s="26"/>
      <c r="G17" s="26">
        <v>2024</v>
      </c>
      <c r="H17" s="35">
        <v>45413</v>
      </c>
      <c r="I17" s="35">
        <v>45565</v>
      </c>
      <c r="J17" s="34">
        <v>0.35325000000000001</v>
      </c>
      <c r="K17" s="34">
        <v>-25051.338</v>
      </c>
      <c r="L17" s="34">
        <v>2.3088200000000001E-3</v>
      </c>
      <c r="M17" s="34">
        <v>-163.73423500000001</v>
      </c>
      <c r="N17" s="34">
        <v>0.35325000000000001</v>
      </c>
      <c r="O17" s="34">
        <v>21.7627305</v>
      </c>
      <c r="P17" s="34">
        <v>28.953250000000001</v>
      </c>
      <c r="Q17" s="34">
        <v>11.940250000000001</v>
      </c>
      <c r="R17" s="34">
        <v>1</v>
      </c>
      <c r="S17" s="34">
        <v>1</v>
      </c>
      <c r="T17" s="34">
        <v>4.1666670000000003E-2</v>
      </c>
      <c r="U17" s="34">
        <v>0</v>
      </c>
      <c r="V17" s="34">
        <v>153</v>
      </c>
      <c r="W17" s="34">
        <v>2.723312E-2</v>
      </c>
      <c r="X17" s="26"/>
      <c r="Y17" s="27">
        <v>40.831479999999999</v>
      </c>
      <c r="Z17" s="27">
        <v>-72.553430000000006</v>
      </c>
      <c r="AA17" s="26"/>
      <c r="AB17" s="26"/>
      <c r="AC17" s="28">
        <f t="shared" si="0"/>
        <v>1</v>
      </c>
      <c r="AD17" s="28">
        <f t="shared" si="1"/>
        <v>31</v>
      </c>
      <c r="AE17" s="28">
        <f t="shared" si="2"/>
        <v>31</v>
      </c>
      <c r="AF17" s="28">
        <f t="shared" si="3"/>
        <v>31</v>
      </c>
      <c r="AG17" s="28">
        <f t="shared" si="4"/>
        <v>31</v>
      </c>
      <c r="AH17" s="28">
        <f t="shared" si="5"/>
        <v>30</v>
      </c>
      <c r="AI17" s="28">
        <f t="shared" si="6"/>
        <v>5</v>
      </c>
      <c r="AJ17" s="28" t="str">
        <f t="shared" si="7"/>
        <v>PASS</v>
      </c>
      <c r="AK17" s="28" t="str">
        <f t="shared" si="8"/>
        <v>PASS</v>
      </c>
      <c r="AL17" s="26"/>
    </row>
    <row r="18" spans="1:38" x14ac:dyDescent="0.25">
      <c r="A18" s="16" t="s">
        <v>64</v>
      </c>
      <c r="B18" s="16" t="s">
        <v>65</v>
      </c>
      <c r="C18" s="16">
        <v>28.6</v>
      </c>
      <c r="D18" s="16" t="s">
        <v>66</v>
      </c>
      <c r="E18" s="16" t="s">
        <v>67</v>
      </c>
      <c r="F18" s="16"/>
      <c r="G18" s="16">
        <v>2024</v>
      </c>
      <c r="H18" s="9">
        <v>45419</v>
      </c>
      <c r="I18" s="9">
        <v>45565</v>
      </c>
      <c r="J18" s="15">
        <v>712.98</v>
      </c>
      <c r="K18" s="15">
        <v>-8409.18</v>
      </c>
      <c r="L18" s="15">
        <v>4.8502039999999997</v>
      </c>
      <c r="M18" s="15">
        <v>-57.205300000000001</v>
      </c>
      <c r="N18" s="15">
        <v>44.761000000000003</v>
      </c>
      <c r="O18" s="15">
        <v>26.403230000000001</v>
      </c>
      <c r="P18" s="15">
        <v>31.992999999999999</v>
      </c>
      <c r="Q18" s="15">
        <v>18.41225</v>
      </c>
      <c r="R18" s="15">
        <v>24</v>
      </c>
      <c r="S18" s="15">
        <v>45</v>
      </c>
      <c r="T18" s="15">
        <v>0.69629600000000003</v>
      </c>
      <c r="U18" s="15">
        <v>0.10367</v>
      </c>
      <c r="V18" s="15">
        <v>147</v>
      </c>
      <c r="W18" s="15">
        <v>21.400110000000002</v>
      </c>
      <c r="X18" s="16"/>
      <c r="Y18" s="25">
        <v>35.369500000000002</v>
      </c>
      <c r="Z18" s="25">
        <v>-75.516000000000005</v>
      </c>
      <c r="AA18" s="16"/>
      <c r="AB18" s="16"/>
      <c r="AC18" s="16">
        <f t="shared" si="0"/>
        <v>0.96078431372549022</v>
      </c>
      <c r="AD18" s="16">
        <f t="shared" si="1"/>
        <v>25</v>
      </c>
      <c r="AE18" s="16">
        <f t="shared" si="2"/>
        <v>31</v>
      </c>
      <c r="AF18" s="16">
        <f t="shared" si="3"/>
        <v>31</v>
      </c>
      <c r="AG18" s="16">
        <f t="shared" si="4"/>
        <v>31</v>
      </c>
      <c r="AH18" s="16">
        <f t="shared" si="5"/>
        <v>30</v>
      </c>
      <c r="AI18" s="16">
        <f t="shared" si="6"/>
        <v>5</v>
      </c>
      <c r="AJ18" s="16" t="str">
        <f t="shared" si="7"/>
        <v>PASS</v>
      </c>
      <c r="AK18" s="16" t="str">
        <f t="shared" si="8"/>
        <v>PASS</v>
      </c>
    </row>
    <row r="19" spans="1:38" x14ac:dyDescent="0.25">
      <c r="A19" s="16" t="s">
        <v>64</v>
      </c>
      <c r="B19" s="16" t="s">
        <v>65</v>
      </c>
      <c r="C19" s="16">
        <v>28.6</v>
      </c>
      <c r="D19" s="16" t="s">
        <v>68</v>
      </c>
      <c r="E19" s="16" t="s">
        <v>69</v>
      </c>
      <c r="F19" s="16"/>
      <c r="G19" s="16">
        <v>2024</v>
      </c>
      <c r="H19" s="9">
        <v>45418</v>
      </c>
      <c r="I19" s="9">
        <v>45565</v>
      </c>
      <c r="J19" s="15">
        <v>841.4</v>
      </c>
      <c r="K19" s="15">
        <v>-8640.85</v>
      </c>
      <c r="L19" s="15">
        <v>5.6851349999999998</v>
      </c>
      <c r="M19" s="15">
        <v>-58.384099999999997</v>
      </c>
      <c r="N19" s="15">
        <v>50.240250000000003</v>
      </c>
      <c r="O19" s="15">
        <v>26.392099999999999</v>
      </c>
      <c r="P19" s="15">
        <v>32.872250000000001</v>
      </c>
      <c r="Q19" s="15">
        <v>18.133500000000002</v>
      </c>
      <c r="R19" s="15">
        <v>24</v>
      </c>
      <c r="S19" s="15">
        <v>70</v>
      </c>
      <c r="T19" s="15">
        <v>0.454762</v>
      </c>
      <c r="U19" s="15">
        <v>5.4998999999999999E-2</v>
      </c>
      <c r="V19" s="15">
        <v>148</v>
      </c>
      <c r="W19" s="15">
        <v>21.57583</v>
      </c>
      <c r="X19" s="16"/>
      <c r="Y19" s="25">
        <v>35.450099999999999</v>
      </c>
      <c r="Z19" s="25">
        <v>-75.510000000000005</v>
      </c>
      <c r="AA19" s="16"/>
      <c r="AB19" s="16"/>
      <c r="AC19" s="16">
        <f t="shared" si="0"/>
        <v>0.9673202614379085</v>
      </c>
      <c r="AD19" s="16">
        <f t="shared" si="1"/>
        <v>26</v>
      </c>
      <c r="AE19" s="16">
        <f t="shared" si="2"/>
        <v>31</v>
      </c>
      <c r="AF19" s="16">
        <f t="shared" si="3"/>
        <v>31</v>
      </c>
      <c r="AG19" s="16">
        <f t="shared" si="4"/>
        <v>31</v>
      </c>
      <c r="AH19" s="16">
        <f t="shared" si="5"/>
        <v>30</v>
      </c>
      <c r="AI19" s="16">
        <f t="shared" si="6"/>
        <v>5</v>
      </c>
      <c r="AJ19" s="16" t="str">
        <f t="shared" si="7"/>
        <v>PASS</v>
      </c>
      <c r="AK19" s="16" t="str">
        <f t="shared" si="8"/>
        <v>PASS</v>
      </c>
    </row>
    <row r="20" spans="1:38" x14ac:dyDescent="0.25">
      <c r="A20" s="16" t="s">
        <v>64</v>
      </c>
      <c r="B20" s="16" t="s">
        <v>65</v>
      </c>
      <c r="C20" s="16">
        <v>28.6</v>
      </c>
      <c r="D20" s="16" t="s">
        <v>70</v>
      </c>
      <c r="E20" s="15" t="s">
        <v>71</v>
      </c>
      <c r="F20" s="16"/>
      <c r="G20" s="16">
        <v>2024</v>
      </c>
      <c r="H20" s="9">
        <v>45418</v>
      </c>
      <c r="I20" s="9">
        <v>45565</v>
      </c>
      <c r="J20" s="15">
        <v>802.75300000000004</v>
      </c>
      <c r="K20" s="15">
        <v>-8538.9</v>
      </c>
      <c r="L20" s="15">
        <v>5.4240069999999996</v>
      </c>
      <c r="M20" s="15">
        <v>-57.695300000000003</v>
      </c>
      <c r="N20" s="15">
        <v>48.347749999999998</v>
      </c>
      <c r="O20" s="15">
        <v>26.40793</v>
      </c>
      <c r="P20" s="15">
        <v>32.325249999999997</v>
      </c>
      <c r="Q20" s="15">
        <v>17.940249999999999</v>
      </c>
      <c r="R20" s="15">
        <v>24</v>
      </c>
      <c r="S20" s="15">
        <v>55</v>
      </c>
      <c r="T20" s="15">
        <v>0.57727300000000004</v>
      </c>
      <c r="U20" s="15">
        <v>8.1850000000000006E-2</v>
      </c>
      <c r="V20" s="15">
        <v>148</v>
      </c>
      <c r="W20" s="15">
        <v>21.513269999999999</v>
      </c>
      <c r="X20" s="16"/>
      <c r="Y20" s="25">
        <v>35.483600000000003</v>
      </c>
      <c r="Z20" s="25">
        <v>-75.497</v>
      </c>
      <c r="AA20" s="16"/>
      <c r="AB20" s="16"/>
      <c r="AC20" s="16">
        <f t="shared" si="0"/>
        <v>0.9673202614379085</v>
      </c>
      <c r="AD20" s="16">
        <f t="shared" si="1"/>
        <v>26</v>
      </c>
      <c r="AE20" s="16">
        <f t="shared" si="2"/>
        <v>31</v>
      </c>
      <c r="AF20" s="16">
        <f t="shared" si="3"/>
        <v>31</v>
      </c>
      <c r="AG20" s="16">
        <f t="shared" si="4"/>
        <v>31</v>
      </c>
      <c r="AH20" s="16">
        <f t="shared" si="5"/>
        <v>30</v>
      </c>
      <c r="AI20" s="16">
        <f t="shared" si="6"/>
        <v>5</v>
      </c>
      <c r="AJ20" s="16" t="str">
        <f t="shared" si="7"/>
        <v>PASS</v>
      </c>
      <c r="AK20" s="16" t="str">
        <f t="shared" si="8"/>
        <v>PASS</v>
      </c>
    </row>
    <row r="21" spans="1:38" x14ac:dyDescent="0.25">
      <c r="A21" s="16" t="s">
        <v>72</v>
      </c>
      <c r="B21" s="16" t="s">
        <v>73</v>
      </c>
      <c r="C21" s="16">
        <v>28.6</v>
      </c>
      <c r="D21" s="16" t="s">
        <v>74</v>
      </c>
      <c r="E21" s="15" t="s">
        <v>75</v>
      </c>
      <c r="F21" s="16"/>
      <c r="G21" s="15">
        <v>2024</v>
      </c>
      <c r="H21" s="9">
        <v>45413</v>
      </c>
      <c r="I21" s="9">
        <v>45565</v>
      </c>
      <c r="J21" s="15">
        <v>1077.6127779999999</v>
      </c>
      <c r="K21" s="15">
        <v>-9147.3799999999992</v>
      </c>
      <c r="L21" s="15">
        <v>7.043221</v>
      </c>
      <c r="M21" s="15">
        <v>-59.786799999999999</v>
      </c>
      <c r="N21" s="15">
        <v>64.578329999999994</v>
      </c>
      <c r="O21" s="15">
        <v>26.39479</v>
      </c>
      <c r="P21" s="15">
        <v>32.651940000000003</v>
      </c>
      <c r="Q21" s="15">
        <v>18.18806</v>
      </c>
      <c r="R21" s="15">
        <v>51</v>
      </c>
      <c r="S21" s="15">
        <v>55</v>
      </c>
      <c r="T21" s="15">
        <v>0.70075799999999999</v>
      </c>
      <c r="U21" s="15">
        <v>0.154028</v>
      </c>
      <c r="V21" s="15">
        <v>153</v>
      </c>
      <c r="W21" s="15">
        <v>25.190629999999999</v>
      </c>
      <c r="X21" s="16"/>
      <c r="Y21" s="25">
        <v>37.340899999999998</v>
      </c>
      <c r="Z21" s="25">
        <v>-76.409000000000006</v>
      </c>
      <c r="AA21" s="16"/>
      <c r="AB21" s="16"/>
      <c r="AC21" s="16">
        <f t="shared" si="0"/>
        <v>1</v>
      </c>
      <c r="AD21" s="16">
        <f t="shared" si="1"/>
        <v>31</v>
      </c>
      <c r="AE21" s="16">
        <f t="shared" si="2"/>
        <v>31</v>
      </c>
      <c r="AF21" s="16">
        <f t="shared" si="3"/>
        <v>31</v>
      </c>
      <c r="AG21" s="16">
        <f t="shared" si="4"/>
        <v>31</v>
      </c>
      <c r="AH21" s="16">
        <f t="shared" si="5"/>
        <v>30</v>
      </c>
      <c r="AI21" s="16">
        <f t="shared" si="6"/>
        <v>5</v>
      </c>
      <c r="AJ21" s="16" t="str">
        <f t="shared" si="7"/>
        <v>PASS</v>
      </c>
      <c r="AK21" s="16" t="str">
        <f t="shared" si="8"/>
        <v>PASS</v>
      </c>
    </row>
    <row r="22" spans="1:38" x14ac:dyDescent="0.25">
      <c r="A22" s="16" t="s">
        <v>72</v>
      </c>
      <c r="B22" s="16" t="s">
        <v>73</v>
      </c>
      <c r="C22" s="16">
        <v>28.6</v>
      </c>
      <c r="D22" s="16" t="s">
        <v>76</v>
      </c>
      <c r="E22" s="15" t="s">
        <v>77</v>
      </c>
      <c r="F22" s="16"/>
      <c r="G22" s="15">
        <v>2024</v>
      </c>
      <c r="H22" s="9">
        <v>45413</v>
      </c>
      <c r="I22" s="9">
        <v>45546</v>
      </c>
      <c r="J22" s="15">
        <v>20.48</v>
      </c>
      <c r="K22" s="15">
        <v>-17449.3</v>
      </c>
      <c r="L22" s="15">
        <v>0.165161</v>
      </c>
      <c r="M22" s="15">
        <v>-140.72</v>
      </c>
      <c r="N22" s="15">
        <v>3.5922499999999999</v>
      </c>
      <c r="O22" s="15">
        <v>22.561150000000001</v>
      </c>
      <c r="P22" s="15">
        <v>30.466999999999999</v>
      </c>
      <c r="Q22" s="15">
        <v>13.139250000000001</v>
      </c>
      <c r="R22" s="15">
        <v>5</v>
      </c>
      <c r="S22" s="15">
        <v>17</v>
      </c>
      <c r="T22" s="15">
        <v>8.8234999999999994E-2</v>
      </c>
      <c r="U22" s="15">
        <v>9.3729999999999994E-3</v>
      </c>
      <c r="V22" s="15">
        <v>124</v>
      </c>
      <c r="W22" s="15">
        <v>1.2561059999999999</v>
      </c>
      <c r="X22" s="16"/>
      <c r="Y22" s="25">
        <v>37.614100000000001</v>
      </c>
      <c r="Z22" s="25">
        <v>-75.686000000000007</v>
      </c>
      <c r="AA22" s="16"/>
      <c r="AB22" s="16"/>
      <c r="AC22" s="16">
        <f t="shared" si="0"/>
        <v>0.81045751633986929</v>
      </c>
      <c r="AD22" s="16">
        <f t="shared" si="1"/>
        <v>31</v>
      </c>
      <c r="AE22" s="16">
        <f t="shared" si="2"/>
        <v>31</v>
      </c>
      <c r="AF22" s="16">
        <f t="shared" si="3"/>
        <v>31</v>
      </c>
      <c r="AG22" s="16">
        <f t="shared" si="4"/>
        <v>31</v>
      </c>
      <c r="AH22" s="16">
        <f t="shared" si="5"/>
        <v>11</v>
      </c>
      <c r="AI22" s="16">
        <f t="shared" si="6"/>
        <v>5</v>
      </c>
      <c r="AJ22" s="16" t="str">
        <f t="shared" si="7"/>
        <v>PASS</v>
      </c>
      <c r="AK22" s="16" t="str">
        <f t="shared" si="8"/>
        <v>PASS</v>
      </c>
    </row>
    <row r="23" spans="1:38" x14ac:dyDescent="0.25">
      <c r="A23" s="16" t="s">
        <v>72</v>
      </c>
      <c r="B23" s="16" t="s">
        <v>73</v>
      </c>
      <c r="C23" s="16">
        <v>28.6</v>
      </c>
      <c r="D23" s="16" t="s">
        <v>76</v>
      </c>
      <c r="E23" s="15" t="s">
        <v>77</v>
      </c>
      <c r="F23" s="16"/>
      <c r="G23" s="15">
        <v>2025</v>
      </c>
      <c r="H23" s="9">
        <v>45778</v>
      </c>
      <c r="I23" s="9">
        <v>45908</v>
      </c>
      <c r="J23" s="15">
        <v>296.41624999999999</v>
      </c>
      <c r="K23" s="15">
        <v>-13201.4</v>
      </c>
      <c r="L23" s="15">
        <v>2.3339859999999999</v>
      </c>
      <c r="M23" s="15">
        <v>-103.94799999999999</v>
      </c>
      <c r="N23" s="15">
        <v>36.746250000000003</v>
      </c>
      <c r="O23" s="15">
        <v>24.204170000000001</v>
      </c>
      <c r="P23" s="15">
        <v>32.896000000000001</v>
      </c>
      <c r="Q23" s="15">
        <v>14.987500000000001</v>
      </c>
      <c r="R23" s="15">
        <v>15</v>
      </c>
      <c r="S23" s="15">
        <v>58</v>
      </c>
      <c r="T23" s="15">
        <v>0.19109200000000001</v>
      </c>
      <c r="U23" s="15">
        <v>2.6089000000000001E-2</v>
      </c>
      <c r="V23" s="15">
        <v>127</v>
      </c>
      <c r="W23" s="15">
        <v>9.0940169999999991</v>
      </c>
      <c r="X23" s="16"/>
      <c r="Y23" s="25">
        <v>37.614100000000001</v>
      </c>
      <c r="Z23" s="25">
        <v>-75.686000000000007</v>
      </c>
      <c r="AA23" s="16"/>
      <c r="AB23" s="16"/>
      <c r="AC23" s="16">
        <f t="shared" si="0"/>
        <v>0.83006535947712423</v>
      </c>
      <c r="AD23" s="16">
        <f t="shared" si="1"/>
        <v>31</v>
      </c>
      <c r="AE23" s="16">
        <f t="shared" si="2"/>
        <v>31</v>
      </c>
      <c r="AF23" s="16">
        <f t="shared" si="3"/>
        <v>31</v>
      </c>
      <c r="AG23" s="16">
        <f t="shared" si="4"/>
        <v>31</v>
      </c>
      <c r="AH23" s="16">
        <f t="shared" si="5"/>
        <v>8</v>
      </c>
      <c r="AI23" s="16">
        <f t="shared" si="6"/>
        <v>4</v>
      </c>
      <c r="AJ23" s="16" t="str">
        <f t="shared" si="7"/>
        <v>PASS</v>
      </c>
      <c r="AK23" s="16" t="str">
        <f t="shared" si="8"/>
        <v>PASS</v>
      </c>
    </row>
    <row r="24" spans="1:38" x14ac:dyDescent="0.25">
      <c r="A24" s="16" t="s">
        <v>72</v>
      </c>
      <c r="B24" s="16" t="s">
        <v>73</v>
      </c>
      <c r="C24" s="16">
        <v>28.6</v>
      </c>
      <c r="D24" s="16" t="s">
        <v>78</v>
      </c>
      <c r="E24" s="15" t="s">
        <v>79</v>
      </c>
      <c r="F24" s="16"/>
      <c r="G24" s="15">
        <v>2024</v>
      </c>
      <c r="H24" s="9">
        <v>45415</v>
      </c>
      <c r="I24" s="9">
        <v>45565</v>
      </c>
      <c r="J24" s="15">
        <v>94.056749999999994</v>
      </c>
      <c r="K24" s="15">
        <v>-17035.599999999999</v>
      </c>
      <c r="L24" s="15">
        <v>0.622892</v>
      </c>
      <c r="M24" s="15">
        <v>-112.819</v>
      </c>
      <c r="N24" s="15">
        <v>11.545</v>
      </c>
      <c r="O24" s="15">
        <v>23.854240000000001</v>
      </c>
      <c r="P24" s="15">
        <v>30.8675</v>
      </c>
      <c r="Q24" s="15">
        <v>16.965250000000001</v>
      </c>
      <c r="R24" s="15">
        <v>7</v>
      </c>
      <c r="S24" s="15">
        <v>34</v>
      </c>
      <c r="T24" s="15">
        <v>0.14583299999999999</v>
      </c>
      <c r="U24" s="15">
        <v>1.1964000000000001E-2</v>
      </c>
      <c r="V24" s="15">
        <v>151</v>
      </c>
      <c r="W24" s="15">
        <v>3.3119960000000002</v>
      </c>
      <c r="X24" s="16"/>
      <c r="Y24" s="25">
        <v>37.272799999999997</v>
      </c>
      <c r="Z24" s="25">
        <v>-75.805999999999997</v>
      </c>
      <c r="AA24" s="16"/>
      <c r="AB24" s="16"/>
      <c r="AC24" s="16">
        <f t="shared" si="0"/>
        <v>0.98692810457516345</v>
      </c>
      <c r="AD24" s="16">
        <f t="shared" si="1"/>
        <v>29</v>
      </c>
      <c r="AE24" s="16">
        <f t="shared" si="2"/>
        <v>31</v>
      </c>
      <c r="AF24" s="16">
        <f t="shared" si="3"/>
        <v>31</v>
      </c>
      <c r="AG24" s="16">
        <f t="shared" si="4"/>
        <v>31</v>
      </c>
      <c r="AH24" s="16">
        <f t="shared" si="5"/>
        <v>30</v>
      </c>
      <c r="AI24" s="16">
        <f t="shared" si="6"/>
        <v>5</v>
      </c>
      <c r="AJ24" s="16" t="str">
        <f t="shared" si="7"/>
        <v>PASS</v>
      </c>
      <c r="AK24" s="16" t="str">
        <f t="shared" si="8"/>
        <v>PASS</v>
      </c>
    </row>
    <row r="25" spans="1:38" x14ac:dyDescent="0.25">
      <c r="A25" s="16" t="s">
        <v>80</v>
      </c>
      <c r="B25" s="16" t="s">
        <v>73</v>
      </c>
      <c r="C25" s="16">
        <v>25</v>
      </c>
      <c r="D25" s="16" t="s">
        <v>81</v>
      </c>
      <c r="E25" s="15" t="s">
        <v>82</v>
      </c>
      <c r="F25" s="16"/>
      <c r="G25" s="15">
        <v>2025</v>
      </c>
      <c r="H25" s="9">
        <v>45778</v>
      </c>
      <c r="I25" s="9">
        <v>45918</v>
      </c>
      <c r="J25" s="15">
        <v>53.576000000000001</v>
      </c>
      <c r="K25" s="15">
        <v>-15849.1</v>
      </c>
      <c r="L25" s="15">
        <v>0.37997199999999998</v>
      </c>
      <c r="M25" s="15">
        <v>-112.405</v>
      </c>
      <c r="N25" s="15">
        <v>6.1589999999999998</v>
      </c>
      <c r="O25" s="15">
        <v>20.308409999999999</v>
      </c>
      <c r="P25" s="15">
        <v>26.664999999999999</v>
      </c>
      <c r="Q25" s="15">
        <v>10.8995</v>
      </c>
      <c r="R25" s="15">
        <v>12</v>
      </c>
      <c r="S25" s="15">
        <v>33</v>
      </c>
      <c r="T25" s="15">
        <v>0.17297999999999999</v>
      </c>
      <c r="U25" s="15">
        <v>1.7214E-2</v>
      </c>
      <c r="V25" s="15">
        <v>141</v>
      </c>
      <c r="W25" s="15">
        <v>4.064076</v>
      </c>
      <c r="X25" s="16"/>
      <c r="Y25" s="33">
        <v>41.329900000000002</v>
      </c>
      <c r="Z25" s="25">
        <v>-71.988</v>
      </c>
      <c r="AA25" s="16"/>
      <c r="AB25" s="16"/>
      <c r="AC25" s="16">
        <f t="shared" si="0"/>
        <v>0.92156862745098034</v>
      </c>
      <c r="AD25" s="16">
        <f t="shared" si="1"/>
        <v>31</v>
      </c>
      <c r="AE25" s="16">
        <f t="shared" si="2"/>
        <v>31</v>
      </c>
      <c r="AF25" s="16">
        <f t="shared" si="3"/>
        <v>31</v>
      </c>
      <c r="AG25" s="16">
        <f t="shared" si="4"/>
        <v>31</v>
      </c>
      <c r="AH25" s="16">
        <f t="shared" si="5"/>
        <v>18</v>
      </c>
      <c r="AI25" s="16">
        <f t="shared" si="6"/>
        <v>5</v>
      </c>
      <c r="AJ25" s="16" t="str">
        <f t="shared" si="7"/>
        <v>PASS</v>
      </c>
      <c r="AK25" s="16" t="str">
        <f t="shared" si="8"/>
        <v>PASS</v>
      </c>
    </row>
    <row r="26" spans="1:38" x14ac:dyDescent="0.25">
      <c r="A26" s="16" t="s">
        <v>80</v>
      </c>
      <c r="B26" s="16" t="s">
        <v>73</v>
      </c>
      <c r="C26" s="16">
        <v>25</v>
      </c>
      <c r="D26" s="16" t="s">
        <v>83</v>
      </c>
      <c r="E26" s="15" t="s">
        <v>84</v>
      </c>
      <c r="F26" s="16"/>
      <c r="G26" s="15">
        <v>2025</v>
      </c>
      <c r="H26" s="9">
        <v>45778</v>
      </c>
      <c r="I26" s="9">
        <v>45918</v>
      </c>
      <c r="J26" s="15">
        <v>0</v>
      </c>
      <c r="K26" s="15">
        <v>-23377</v>
      </c>
      <c r="L26" s="15">
        <v>0</v>
      </c>
      <c r="M26" s="15">
        <v>-165.79499999999999</v>
      </c>
      <c r="N26" s="15">
        <v>0</v>
      </c>
      <c r="O26" s="15">
        <v>18.06692</v>
      </c>
      <c r="P26" s="15">
        <v>22.97</v>
      </c>
      <c r="Q26" s="15">
        <v>9.3870000000000005</v>
      </c>
      <c r="R26" s="15">
        <v>0</v>
      </c>
      <c r="S26" s="15">
        <v>0</v>
      </c>
      <c r="T26" s="15">
        <v>0</v>
      </c>
      <c r="U26" s="15">
        <v>0</v>
      </c>
      <c r="V26" s="15">
        <v>141</v>
      </c>
      <c r="W26" s="15">
        <v>0</v>
      </c>
      <c r="X26" s="16"/>
      <c r="Y26" s="16">
        <v>41.332729999999998</v>
      </c>
      <c r="Z26" s="16">
        <v>-71.902699999999996</v>
      </c>
      <c r="AA26" s="16"/>
      <c r="AB26" s="16"/>
      <c r="AC26" s="16">
        <f t="shared" si="0"/>
        <v>0.92156862745098034</v>
      </c>
      <c r="AD26" s="16">
        <f t="shared" si="1"/>
        <v>31</v>
      </c>
      <c r="AE26" s="16">
        <f t="shared" si="2"/>
        <v>31</v>
      </c>
      <c r="AF26" s="16">
        <f t="shared" si="3"/>
        <v>31</v>
      </c>
      <c r="AG26" s="16">
        <f t="shared" si="4"/>
        <v>31</v>
      </c>
      <c r="AH26" s="16">
        <f t="shared" si="5"/>
        <v>18</v>
      </c>
      <c r="AI26" s="16">
        <f t="shared" si="6"/>
        <v>5</v>
      </c>
      <c r="AJ26" s="16" t="str">
        <f t="shared" si="7"/>
        <v>PASS</v>
      </c>
      <c r="AK26" s="16" t="str">
        <f t="shared" si="8"/>
        <v>PASS</v>
      </c>
    </row>
    <row r="27" spans="1:38" x14ac:dyDescent="0.25">
      <c r="A27" s="16" t="s">
        <v>85</v>
      </c>
      <c r="B27" s="16" t="s">
        <v>73</v>
      </c>
      <c r="C27" s="16">
        <v>25</v>
      </c>
      <c r="D27" s="16" t="s">
        <v>86</v>
      </c>
      <c r="E27" s="15" t="s">
        <v>87</v>
      </c>
      <c r="F27" s="16"/>
      <c r="G27" s="15">
        <v>2025</v>
      </c>
      <c r="H27" s="9">
        <v>45778</v>
      </c>
      <c r="I27" s="9">
        <v>45904</v>
      </c>
      <c r="J27" s="15">
        <v>212.68350000000001</v>
      </c>
      <c r="K27" s="15">
        <v>-15860.5</v>
      </c>
      <c r="L27" s="15">
        <v>1.6746730000000001</v>
      </c>
      <c r="M27" s="15">
        <v>-124.88500000000001</v>
      </c>
      <c r="N27" s="15">
        <v>14.7875</v>
      </c>
      <c r="O27" s="15">
        <v>19.841460000000001</v>
      </c>
      <c r="P27" s="15">
        <v>28.51</v>
      </c>
      <c r="Q27" s="15">
        <v>9.0655000000000001</v>
      </c>
      <c r="R27" s="15">
        <v>11</v>
      </c>
      <c r="S27" s="15">
        <v>46</v>
      </c>
      <c r="T27" s="15">
        <v>0.184783</v>
      </c>
      <c r="U27" s="15">
        <v>1.525E-2</v>
      </c>
      <c r="V27" s="15">
        <v>127</v>
      </c>
      <c r="W27" s="15">
        <v>6.714944</v>
      </c>
      <c r="X27" s="16"/>
      <c r="Y27" s="25">
        <v>41.367699999999999</v>
      </c>
      <c r="Z27" s="33">
        <v>-71.634</v>
      </c>
      <c r="AA27" s="16"/>
      <c r="AB27" s="16"/>
      <c r="AC27" s="16">
        <f t="shared" si="0"/>
        <v>0.83006535947712423</v>
      </c>
      <c r="AD27" s="16">
        <f t="shared" si="1"/>
        <v>31</v>
      </c>
      <c r="AE27" s="16">
        <f t="shared" si="2"/>
        <v>31</v>
      </c>
      <c r="AF27" s="16">
        <f t="shared" si="3"/>
        <v>31</v>
      </c>
      <c r="AG27" s="16">
        <f t="shared" si="4"/>
        <v>31</v>
      </c>
      <c r="AH27" s="16">
        <f t="shared" si="5"/>
        <v>4</v>
      </c>
      <c r="AI27" s="16">
        <f t="shared" si="6"/>
        <v>4</v>
      </c>
      <c r="AJ27" s="16" t="str">
        <f t="shared" si="7"/>
        <v>PASS</v>
      </c>
      <c r="AK27" s="16" t="str">
        <f t="shared" si="8"/>
        <v>PASS</v>
      </c>
    </row>
    <row r="28" spans="1:38" x14ac:dyDescent="0.25">
      <c r="A28" s="16" t="s">
        <v>85</v>
      </c>
      <c r="B28" s="16" t="s">
        <v>73</v>
      </c>
      <c r="C28" s="16">
        <v>25</v>
      </c>
      <c r="D28" s="16" t="s">
        <v>88</v>
      </c>
      <c r="E28" s="15" t="s">
        <v>89</v>
      </c>
      <c r="F28" s="16"/>
      <c r="G28" s="15">
        <v>2025</v>
      </c>
      <c r="H28" s="9">
        <v>45778</v>
      </c>
      <c r="I28" s="9">
        <v>45930</v>
      </c>
      <c r="J28" s="15">
        <v>0</v>
      </c>
      <c r="K28" s="15">
        <v>-27414.2</v>
      </c>
      <c r="L28" s="15">
        <v>0</v>
      </c>
      <c r="M28" s="15">
        <v>-179.178</v>
      </c>
      <c r="N28" s="15">
        <v>0</v>
      </c>
      <c r="O28" s="15">
        <v>17.516680000000001</v>
      </c>
      <c r="P28" s="15">
        <v>21.7425</v>
      </c>
      <c r="Q28" s="15">
        <v>7.4509999999999996</v>
      </c>
      <c r="R28" s="15">
        <v>0</v>
      </c>
      <c r="S28" s="15">
        <v>0</v>
      </c>
      <c r="T28" s="15">
        <v>0</v>
      </c>
      <c r="U28" s="15">
        <v>0</v>
      </c>
      <c r="V28" s="15">
        <v>153</v>
      </c>
      <c r="W28" s="15">
        <v>0</v>
      </c>
      <c r="X28" s="16"/>
      <c r="Y28" s="25">
        <v>41.478700000000003</v>
      </c>
      <c r="Z28" s="33">
        <v>-71.358999999999995</v>
      </c>
      <c r="AA28" s="16"/>
      <c r="AB28" s="16"/>
      <c r="AC28" s="16">
        <f t="shared" si="0"/>
        <v>1</v>
      </c>
      <c r="AD28" s="16">
        <f t="shared" si="1"/>
        <v>31</v>
      </c>
      <c r="AE28" s="16">
        <f t="shared" si="2"/>
        <v>31</v>
      </c>
      <c r="AF28" s="16">
        <f t="shared" si="3"/>
        <v>31</v>
      </c>
      <c r="AG28" s="16">
        <f t="shared" si="4"/>
        <v>31</v>
      </c>
      <c r="AH28" s="16">
        <f t="shared" si="5"/>
        <v>30</v>
      </c>
      <c r="AI28" s="16">
        <f t="shared" si="6"/>
        <v>5</v>
      </c>
      <c r="AJ28" s="16" t="str">
        <f t="shared" si="7"/>
        <v>PASS</v>
      </c>
      <c r="AK28" s="16" t="str">
        <f t="shared" si="8"/>
        <v>PASS</v>
      </c>
    </row>
    <row r="29" spans="1:38" x14ac:dyDescent="0.25">
      <c r="A29" s="16" t="s">
        <v>90</v>
      </c>
      <c r="B29" s="16" t="s">
        <v>73</v>
      </c>
      <c r="C29" s="16">
        <v>25</v>
      </c>
      <c r="D29" s="16" t="s">
        <v>91</v>
      </c>
      <c r="E29" s="15" t="s">
        <v>92</v>
      </c>
      <c r="F29" s="16"/>
      <c r="G29" s="15">
        <v>2025</v>
      </c>
      <c r="H29" s="9">
        <v>45778</v>
      </c>
      <c r="I29" s="9">
        <v>45903</v>
      </c>
      <c r="J29" s="15">
        <v>0</v>
      </c>
      <c r="K29" s="15">
        <v>-29935</v>
      </c>
      <c r="L29" s="15">
        <v>0</v>
      </c>
      <c r="M29" s="15">
        <v>-237.57900000000001</v>
      </c>
      <c r="N29" s="15">
        <v>0</v>
      </c>
      <c r="O29" s="15">
        <v>15.05888</v>
      </c>
      <c r="P29" s="15">
        <v>22.3215</v>
      </c>
      <c r="Q29" s="15">
        <v>7.9980000000000002</v>
      </c>
      <c r="R29" s="15">
        <v>0</v>
      </c>
      <c r="S29" s="15">
        <v>0</v>
      </c>
      <c r="T29" s="15">
        <v>0</v>
      </c>
      <c r="U29" s="15">
        <v>0</v>
      </c>
      <c r="V29" s="15">
        <v>126</v>
      </c>
      <c r="W29" s="15">
        <v>0</v>
      </c>
      <c r="X29" s="16"/>
      <c r="Y29" s="25">
        <v>43.753700000000002</v>
      </c>
      <c r="Z29" s="25">
        <v>-70.135999999999996</v>
      </c>
      <c r="AA29" s="16"/>
      <c r="AB29" s="16"/>
      <c r="AC29" s="16">
        <f t="shared" si="0"/>
        <v>0.82352941176470584</v>
      </c>
      <c r="AD29" s="16">
        <f t="shared" si="1"/>
        <v>31</v>
      </c>
      <c r="AE29" s="16">
        <f t="shared" si="2"/>
        <v>31</v>
      </c>
      <c r="AF29" s="16">
        <f t="shared" si="3"/>
        <v>31</v>
      </c>
      <c r="AG29" s="16">
        <f t="shared" si="4"/>
        <v>31</v>
      </c>
      <c r="AH29" s="16">
        <f t="shared" si="5"/>
        <v>3</v>
      </c>
      <c r="AI29" s="16">
        <f t="shared" si="6"/>
        <v>4</v>
      </c>
      <c r="AJ29" s="16" t="str">
        <f t="shared" si="7"/>
        <v>PASS</v>
      </c>
      <c r="AK29" s="16" t="str">
        <f t="shared" si="8"/>
        <v>PASS</v>
      </c>
    </row>
    <row r="30" spans="1:38" x14ac:dyDescent="0.25">
      <c r="A30" s="16" t="s">
        <v>90</v>
      </c>
      <c r="B30" s="16" t="s">
        <v>73</v>
      </c>
      <c r="C30" s="16">
        <v>25</v>
      </c>
      <c r="D30" s="16" t="s">
        <v>93</v>
      </c>
      <c r="E30" s="15" t="s">
        <v>94</v>
      </c>
      <c r="F30" s="16"/>
      <c r="G30" s="15">
        <v>2025</v>
      </c>
      <c r="H30" s="38">
        <v>45778</v>
      </c>
      <c r="I30" s="38">
        <v>45911</v>
      </c>
      <c r="J30" s="39">
        <v>0</v>
      </c>
      <c r="K30" s="39">
        <v>-32894.199999999997</v>
      </c>
      <c r="L30" s="39">
        <v>0</v>
      </c>
      <c r="M30" s="39">
        <v>-245.47900000000001</v>
      </c>
      <c r="N30" s="39">
        <v>0</v>
      </c>
      <c r="O30" s="39">
        <v>14.71941</v>
      </c>
      <c r="P30" s="39">
        <v>20.42417</v>
      </c>
      <c r="Q30" s="39">
        <v>6.7877780000000003</v>
      </c>
      <c r="R30" s="39">
        <v>0</v>
      </c>
      <c r="S30" s="39">
        <v>0</v>
      </c>
      <c r="T30" s="39">
        <v>0</v>
      </c>
      <c r="U30" s="39">
        <v>0</v>
      </c>
      <c r="V30" s="39">
        <v>134</v>
      </c>
      <c r="W30" s="39">
        <v>0</v>
      </c>
      <c r="X30" s="16"/>
      <c r="Y30" s="25">
        <v>43.9679</v>
      </c>
      <c r="Z30" s="25">
        <v>-69.361999999999995</v>
      </c>
      <c r="AA30" s="16"/>
      <c r="AB30" s="16"/>
      <c r="AC30" s="16">
        <f t="shared" si="0"/>
        <v>0.87581699346405228</v>
      </c>
      <c r="AD30" s="16">
        <f t="shared" si="1"/>
        <v>31</v>
      </c>
      <c r="AE30" s="16">
        <f t="shared" si="2"/>
        <v>31</v>
      </c>
      <c r="AF30" s="16">
        <f t="shared" si="3"/>
        <v>31</v>
      </c>
      <c r="AG30" s="16">
        <f t="shared" si="4"/>
        <v>31</v>
      </c>
      <c r="AH30" s="16">
        <f t="shared" si="5"/>
        <v>11</v>
      </c>
      <c r="AI30" s="16">
        <f t="shared" si="6"/>
        <v>5</v>
      </c>
      <c r="AJ30" s="16" t="str">
        <f t="shared" si="7"/>
        <v>PASS</v>
      </c>
      <c r="AK30" s="16" t="str">
        <f t="shared" si="8"/>
        <v>PASS</v>
      </c>
    </row>
    <row r="31" spans="1:38" x14ac:dyDescent="0.25">
      <c r="A31" s="16" t="s">
        <v>90</v>
      </c>
      <c r="B31" s="16" t="s">
        <v>73</v>
      </c>
      <c r="C31" s="16">
        <v>25</v>
      </c>
      <c r="D31" s="16" t="s">
        <v>95</v>
      </c>
      <c r="E31" s="15" t="s">
        <v>96</v>
      </c>
      <c r="F31" s="16"/>
      <c r="G31" s="15">
        <v>2025</v>
      </c>
      <c r="H31" s="9">
        <v>45778</v>
      </c>
      <c r="I31" s="9">
        <v>45903</v>
      </c>
      <c r="J31" s="15">
        <v>0</v>
      </c>
      <c r="K31" s="15">
        <v>-31509.5</v>
      </c>
      <c r="L31" s="15">
        <v>0</v>
      </c>
      <c r="M31" s="15">
        <v>-250.07499999999999</v>
      </c>
      <c r="N31" s="15">
        <v>0</v>
      </c>
      <c r="O31" s="15">
        <v>14.540699999999999</v>
      </c>
      <c r="P31" s="15">
        <v>20.213999999999999</v>
      </c>
      <c r="Q31" s="15">
        <v>7.6924999999999999</v>
      </c>
      <c r="R31" s="15">
        <v>0</v>
      </c>
      <c r="S31" s="15">
        <v>0</v>
      </c>
      <c r="T31" s="15">
        <v>0</v>
      </c>
      <c r="U31" s="15">
        <v>0</v>
      </c>
      <c r="V31" s="15">
        <v>126</v>
      </c>
      <c r="W31" s="15">
        <v>0</v>
      </c>
      <c r="X31" s="16"/>
      <c r="Y31" s="25">
        <v>43.692300000000003</v>
      </c>
      <c r="Z31" s="25">
        <v>-70.227999999999994</v>
      </c>
      <c r="AA31" s="16"/>
      <c r="AB31" s="16"/>
      <c r="AC31" s="16">
        <f t="shared" si="0"/>
        <v>0.82352941176470584</v>
      </c>
      <c r="AD31" s="16">
        <f t="shared" si="1"/>
        <v>31</v>
      </c>
      <c r="AE31" s="16">
        <f t="shared" si="2"/>
        <v>31</v>
      </c>
      <c r="AF31" s="16">
        <f t="shared" si="3"/>
        <v>31</v>
      </c>
      <c r="AG31" s="16">
        <f t="shared" si="4"/>
        <v>31</v>
      </c>
      <c r="AH31" s="16">
        <f t="shared" si="5"/>
        <v>3</v>
      </c>
      <c r="AI31" s="16">
        <f t="shared" si="6"/>
        <v>4</v>
      </c>
      <c r="AJ31" s="16" t="str">
        <f t="shared" si="7"/>
        <v>PASS</v>
      </c>
      <c r="AK31" s="16" t="str">
        <f t="shared" si="8"/>
        <v>PASS</v>
      </c>
    </row>
    <row r="32" spans="1:38" x14ac:dyDescent="0.25">
      <c r="A32" s="16" t="s">
        <v>90</v>
      </c>
      <c r="B32" s="16" t="s">
        <v>97</v>
      </c>
      <c r="C32" s="16">
        <v>25</v>
      </c>
      <c r="D32" s="16" t="s">
        <v>98</v>
      </c>
      <c r="E32" s="15" t="s">
        <v>99</v>
      </c>
      <c r="F32" s="16"/>
      <c r="G32" s="15">
        <v>2025</v>
      </c>
      <c r="H32" s="9">
        <v>45778</v>
      </c>
      <c r="I32" s="9">
        <v>45930</v>
      </c>
      <c r="J32" s="15">
        <v>0</v>
      </c>
      <c r="K32" s="15">
        <v>-43486.6</v>
      </c>
      <c r="L32" s="15">
        <v>0</v>
      </c>
      <c r="M32" s="15">
        <v>-284.226</v>
      </c>
      <c r="N32" s="15">
        <v>0</v>
      </c>
      <c r="O32" s="15">
        <v>13.13621</v>
      </c>
      <c r="P32" s="15">
        <v>20.197500000000002</v>
      </c>
      <c r="Q32" s="15">
        <v>5.1019439999999996</v>
      </c>
      <c r="R32" s="15">
        <v>0</v>
      </c>
      <c r="S32" s="15">
        <v>0</v>
      </c>
      <c r="T32" s="15">
        <v>0</v>
      </c>
      <c r="U32" s="15">
        <v>0</v>
      </c>
      <c r="V32" s="15">
        <v>153</v>
      </c>
      <c r="W32" s="15">
        <v>0</v>
      </c>
      <c r="X32" s="16"/>
      <c r="Y32" s="25">
        <v>44.389499999999998</v>
      </c>
      <c r="Z32" s="25">
        <v>-68.093000000000004</v>
      </c>
      <c r="AA32" s="16"/>
      <c r="AB32" s="16"/>
      <c r="AC32" s="16">
        <f t="shared" si="0"/>
        <v>1</v>
      </c>
      <c r="AD32" s="16">
        <f t="shared" si="1"/>
        <v>31</v>
      </c>
      <c r="AE32" s="16">
        <f t="shared" si="2"/>
        <v>31</v>
      </c>
      <c r="AF32" s="16">
        <f t="shared" si="3"/>
        <v>31</v>
      </c>
      <c r="AG32" s="16">
        <f t="shared" si="4"/>
        <v>31</v>
      </c>
      <c r="AH32" s="16">
        <f t="shared" si="5"/>
        <v>30</v>
      </c>
      <c r="AI32" s="16">
        <f t="shared" si="6"/>
        <v>5</v>
      </c>
      <c r="AJ32" s="16" t="str">
        <f t="shared" si="7"/>
        <v>PASS</v>
      </c>
      <c r="AK32" s="16" t="str">
        <f t="shared" si="8"/>
        <v>PASS</v>
      </c>
    </row>
    <row r="33" spans="1:38" x14ac:dyDescent="0.25">
      <c r="A33" s="16" t="s">
        <v>90</v>
      </c>
      <c r="B33" s="16" t="s">
        <v>97</v>
      </c>
      <c r="C33" s="16">
        <v>25</v>
      </c>
      <c r="D33" s="16" t="s">
        <v>100</v>
      </c>
      <c r="E33" s="15" t="s">
        <v>101</v>
      </c>
      <c r="F33" s="16"/>
      <c r="G33" s="15">
        <v>2025</v>
      </c>
      <c r="H33" s="9">
        <v>45778</v>
      </c>
      <c r="I33" s="9">
        <v>45910</v>
      </c>
      <c r="J33" s="15">
        <v>0</v>
      </c>
      <c r="K33" s="15">
        <v>-41039.599999999999</v>
      </c>
      <c r="L33" s="15">
        <v>0</v>
      </c>
      <c r="M33" s="15">
        <v>-308.56799999999998</v>
      </c>
      <c r="N33" s="15">
        <v>0</v>
      </c>
      <c r="O33" s="15">
        <v>12.07832</v>
      </c>
      <c r="P33" s="15">
        <v>21.774999999999999</v>
      </c>
      <c r="Q33" s="15">
        <v>5.7030000000000003</v>
      </c>
      <c r="R33" s="15">
        <v>0</v>
      </c>
      <c r="S33" s="15">
        <v>0</v>
      </c>
      <c r="T33" s="15">
        <v>0</v>
      </c>
      <c r="U33" s="15">
        <v>0</v>
      </c>
      <c r="V33" s="15">
        <v>133</v>
      </c>
      <c r="W33" s="15">
        <v>0</v>
      </c>
      <c r="X33" s="16"/>
      <c r="Y33" s="25">
        <v>44.227699999999999</v>
      </c>
      <c r="Z33" s="33">
        <v>-68.322999999999993</v>
      </c>
      <c r="AA33" s="16"/>
      <c r="AB33" s="16"/>
      <c r="AC33" s="16">
        <f t="shared" si="0"/>
        <v>0.86928104575163401</v>
      </c>
      <c r="AD33" s="16">
        <f t="shared" si="1"/>
        <v>31</v>
      </c>
      <c r="AE33" s="16">
        <f t="shared" si="2"/>
        <v>31</v>
      </c>
      <c r="AF33" s="16">
        <f t="shared" si="3"/>
        <v>31</v>
      </c>
      <c r="AG33" s="16">
        <f t="shared" si="4"/>
        <v>31</v>
      </c>
      <c r="AH33" s="16">
        <f t="shared" si="5"/>
        <v>10</v>
      </c>
      <c r="AI33" s="16">
        <f t="shared" si="6"/>
        <v>5</v>
      </c>
      <c r="AJ33" s="16" t="str">
        <f t="shared" si="7"/>
        <v>PASS</v>
      </c>
      <c r="AK33" s="16" t="str">
        <f t="shared" si="8"/>
        <v>PASS</v>
      </c>
    </row>
    <row r="34" spans="1:38" x14ac:dyDescent="0.25">
      <c r="A34" s="16" t="s">
        <v>90</v>
      </c>
      <c r="B34" s="16" t="s">
        <v>73</v>
      </c>
      <c r="C34" s="16">
        <v>25</v>
      </c>
      <c r="D34" s="16" t="s">
        <v>102</v>
      </c>
      <c r="E34" s="15" t="s">
        <v>103</v>
      </c>
      <c r="F34" s="16"/>
      <c r="G34" s="15">
        <v>2025</v>
      </c>
      <c r="H34" s="9">
        <v>45778</v>
      </c>
      <c r="I34" s="9">
        <v>45930</v>
      </c>
      <c r="J34" s="15">
        <v>2.96666667</v>
      </c>
      <c r="K34" s="15">
        <v>-43450.5</v>
      </c>
      <c r="L34" s="15">
        <v>1.9390000000000001E-2</v>
      </c>
      <c r="M34" s="15">
        <v>-283.99</v>
      </c>
      <c r="N34" s="15">
        <v>2.3111109999999999</v>
      </c>
      <c r="O34" s="15">
        <v>13.14836</v>
      </c>
      <c r="P34" s="15">
        <v>27.311109999999999</v>
      </c>
      <c r="Q34" s="15">
        <v>5.0113890000000003</v>
      </c>
      <c r="R34" s="15">
        <v>1</v>
      </c>
      <c r="S34" s="15">
        <v>4</v>
      </c>
      <c r="T34" s="15">
        <v>4.1667000000000003E-2</v>
      </c>
      <c r="U34" s="15">
        <v>0</v>
      </c>
      <c r="V34" s="15">
        <v>153</v>
      </c>
      <c r="W34" s="15">
        <v>0.108932</v>
      </c>
      <c r="X34" s="16"/>
      <c r="Y34" s="25">
        <v>44.698900000000002</v>
      </c>
      <c r="Z34" s="25">
        <v>-67.334000000000003</v>
      </c>
      <c r="AA34" s="16"/>
      <c r="AB34" s="16"/>
      <c r="AC34" s="16">
        <f t="shared" si="0"/>
        <v>1</v>
      </c>
      <c r="AD34" s="16">
        <f t="shared" si="1"/>
        <v>31</v>
      </c>
      <c r="AE34" s="16">
        <f t="shared" si="2"/>
        <v>31</v>
      </c>
      <c r="AF34" s="16">
        <f t="shared" si="3"/>
        <v>31</v>
      </c>
      <c r="AG34" s="16">
        <f t="shared" si="4"/>
        <v>31</v>
      </c>
      <c r="AH34" s="16">
        <f t="shared" si="5"/>
        <v>30</v>
      </c>
      <c r="AI34" s="16">
        <f t="shared" si="6"/>
        <v>5</v>
      </c>
      <c r="AJ34" s="16" t="str">
        <f t="shared" si="7"/>
        <v>PASS</v>
      </c>
      <c r="AK34" s="16" t="str">
        <f t="shared" si="8"/>
        <v>PASS</v>
      </c>
    </row>
    <row r="35" spans="1:38" x14ac:dyDescent="0.25">
      <c r="A35" s="16" t="s">
        <v>50</v>
      </c>
      <c r="B35" s="16" t="s">
        <v>73</v>
      </c>
      <c r="C35" s="16">
        <v>25</v>
      </c>
      <c r="D35" s="16" t="s">
        <v>107</v>
      </c>
      <c r="E35" s="15" t="s">
        <v>108</v>
      </c>
      <c r="F35" s="16"/>
      <c r="G35" s="16">
        <v>2025</v>
      </c>
      <c r="H35" s="9">
        <v>45778</v>
      </c>
      <c r="I35" s="9">
        <v>45918</v>
      </c>
      <c r="J35" s="15">
        <v>0</v>
      </c>
      <c r="K35" s="15">
        <v>-23733.200000000001</v>
      </c>
      <c r="L35" s="15">
        <v>0</v>
      </c>
      <c r="M35" s="15">
        <v>-168.321</v>
      </c>
      <c r="N35" s="15">
        <v>0</v>
      </c>
      <c r="O35" s="15">
        <v>17.957370000000001</v>
      </c>
      <c r="P35" s="15">
        <v>23.935500000000001</v>
      </c>
      <c r="Q35" s="15">
        <v>8.9794999999999998</v>
      </c>
      <c r="R35" s="15">
        <v>0</v>
      </c>
      <c r="S35" s="15">
        <v>0</v>
      </c>
      <c r="T35" s="15">
        <v>0</v>
      </c>
      <c r="U35" s="15">
        <v>0</v>
      </c>
      <c r="V35" s="15">
        <v>141</v>
      </c>
      <c r="W35" s="15">
        <v>0</v>
      </c>
      <c r="X35" s="16"/>
      <c r="Y35" s="25">
        <v>41.278100000000002</v>
      </c>
      <c r="Z35" s="33">
        <v>-71.948999999999998</v>
      </c>
      <c r="AA35" s="16"/>
      <c r="AB35" s="16"/>
      <c r="AC35" s="16">
        <f t="shared" si="0"/>
        <v>0.92156862745098034</v>
      </c>
      <c r="AD35" s="16">
        <f t="shared" si="1"/>
        <v>31</v>
      </c>
      <c r="AE35" s="16">
        <f t="shared" si="2"/>
        <v>31</v>
      </c>
      <c r="AF35" s="16">
        <f t="shared" si="3"/>
        <v>31</v>
      </c>
      <c r="AG35" s="16">
        <f t="shared" si="4"/>
        <v>31</v>
      </c>
      <c r="AH35" s="16">
        <f t="shared" si="5"/>
        <v>18</v>
      </c>
      <c r="AI35" s="16">
        <f t="shared" si="6"/>
        <v>5</v>
      </c>
      <c r="AJ35" s="16" t="str">
        <f t="shared" si="7"/>
        <v>PASS</v>
      </c>
      <c r="AK35" s="16" t="str">
        <f t="shared" si="8"/>
        <v>PASS</v>
      </c>
    </row>
    <row r="36" spans="1:38" x14ac:dyDescent="0.25">
      <c r="A36" s="16" t="s">
        <v>37</v>
      </c>
      <c r="B36" s="16" t="s">
        <v>73</v>
      </c>
      <c r="C36" s="16">
        <v>25</v>
      </c>
      <c r="D36" s="16" t="s">
        <v>109</v>
      </c>
      <c r="E36" s="15" t="s">
        <v>110</v>
      </c>
      <c r="F36" s="16"/>
      <c r="G36" s="16">
        <v>2025</v>
      </c>
      <c r="H36" s="9">
        <v>45778</v>
      </c>
      <c r="I36" s="9">
        <v>45901</v>
      </c>
      <c r="J36" s="15">
        <v>0</v>
      </c>
      <c r="K36" s="15">
        <v>-33110.9</v>
      </c>
      <c r="L36" s="15">
        <v>0</v>
      </c>
      <c r="M36" s="15">
        <v>-267.02300000000002</v>
      </c>
      <c r="N36" s="15">
        <v>0</v>
      </c>
      <c r="O36" s="15">
        <v>13.824389999999999</v>
      </c>
      <c r="P36" s="15">
        <v>20.771999999999998</v>
      </c>
      <c r="Q36" s="15">
        <v>5.6924999999999999</v>
      </c>
      <c r="R36" s="15">
        <v>0</v>
      </c>
      <c r="S36" s="15">
        <v>0</v>
      </c>
      <c r="T36" s="15">
        <v>0</v>
      </c>
      <c r="U36" s="15">
        <v>0</v>
      </c>
      <c r="V36" s="15">
        <v>124</v>
      </c>
      <c r="W36" s="15">
        <v>0</v>
      </c>
      <c r="X36" s="16"/>
      <c r="Y36" s="25">
        <v>42.594099999999997</v>
      </c>
      <c r="Z36" s="33">
        <v>-70.656999999999996</v>
      </c>
      <c r="AA36" s="16"/>
      <c r="AB36" s="16"/>
      <c r="AC36" s="16">
        <f t="shared" si="0"/>
        <v>0.81045751633986929</v>
      </c>
      <c r="AD36" s="16">
        <f t="shared" si="1"/>
        <v>31</v>
      </c>
      <c r="AE36" s="16">
        <f t="shared" si="2"/>
        <v>31</v>
      </c>
      <c r="AF36" s="16">
        <f t="shared" si="3"/>
        <v>31</v>
      </c>
      <c r="AG36" s="16">
        <f t="shared" si="4"/>
        <v>31</v>
      </c>
      <c r="AH36" s="16">
        <f t="shared" si="5"/>
        <v>1</v>
      </c>
      <c r="AI36" s="16">
        <f t="shared" si="6"/>
        <v>4</v>
      </c>
      <c r="AJ36" s="16" t="str">
        <f t="shared" si="7"/>
        <v>PASS</v>
      </c>
      <c r="AK36" s="16" t="str">
        <f t="shared" si="8"/>
        <v>PASS</v>
      </c>
    </row>
    <row r="37" spans="1:38" x14ac:dyDescent="0.25">
      <c r="A37" s="40" t="s">
        <v>37</v>
      </c>
      <c r="B37" s="40" t="s">
        <v>73</v>
      </c>
      <c r="C37" s="40">
        <v>25</v>
      </c>
      <c r="D37" s="40" t="s">
        <v>111</v>
      </c>
      <c r="E37" s="41" t="s">
        <v>112</v>
      </c>
      <c r="F37" s="16"/>
      <c r="G37" s="16">
        <v>2025</v>
      </c>
      <c r="H37" s="9">
        <v>45778</v>
      </c>
      <c r="I37" s="9">
        <v>45919</v>
      </c>
      <c r="J37" s="15">
        <v>242.6168333</v>
      </c>
      <c r="K37" s="15">
        <v>-11546.5</v>
      </c>
      <c r="L37" s="15">
        <v>1.8807510000000001</v>
      </c>
      <c r="M37" s="15">
        <v>-89.507999999999996</v>
      </c>
      <c r="N37" s="15">
        <v>23.728829999999999</v>
      </c>
      <c r="O37" s="15">
        <v>21.26502</v>
      </c>
      <c r="P37" s="15">
        <v>27.59967</v>
      </c>
      <c r="Q37" s="15">
        <v>11.843249999999999</v>
      </c>
      <c r="R37" s="15">
        <v>30</v>
      </c>
      <c r="S37" s="15">
        <v>55</v>
      </c>
      <c r="T37" s="15">
        <v>0.26136399999999999</v>
      </c>
      <c r="U37" s="15">
        <v>3.2856999999999997E-2</v>
      </c>
      <c r="V37" s="15">
        <v>129</v>
      </c>
      <c r="W37" s="15">
        <v>11.28557</v>
      </c>
      <c r="X37" s="16"/>
      <c r="Y37" s="42">
        <v>41.339199999999998</v>
      </c>
      <c r="Z37" s="42">
        <v>-70.231999999999999</v>
      </c>
      <c r="AA37" s="16"/>
      <c r="AB37" s="16"/>
      <c r="AC37" s="16">
        <f t="shared" si="0"/>
        <v>0.84313725490196079</v>
      </c>
      <c r="AD37" s="16">
        <f t="shared" si="1"/>
        <v>31</v>
      </c>
      <c r="AE37" s="16">
        <f t="shared" si="2"/>
        <v>31</v>
      </c>
      <c r="AF37" s="16">
        <f t="shared" si="3"/>
        <v>31</v>
      </c>
      <c r="AG37" s="16">
        <f t="shared" si="4"/>
        <v>31</v>
      </c>
      <c r="AH37" s="16">
        <f t="shared" si="5"/>
        <v>19</v>
      </c>
      <c r="AI37" s="16">
        <f t="shared" si="6"/>
        <v>5</v>
      </c>
      <c r="AJ37" s="16" t="str">
        <f t="shared" si="7"/>
        <v>PASS</v>
      </c>
      <c r="AK37" s="16" t="str">
        <f t="shared" si="8"/>
        <v>PASS</v>
      </c>
    </row>
    <row r="38" spans="1:38" x14ac:dyDescent="0.25">
      <c r="A38" s="16" t="s">
        <v>37</v>
      </c>
      <c r="B38" s="16" t="s">
        <v>73</v>
      </c>
      <c r="C38" s="16">
        <v>25</v>
      </c>
      <c r="D38" s="16" t="s">
        <v>113</v>
      </c>
      <c r="E38" s="15" t="s">
        <v>114</v>
      </c>
      <c r="F38" s="16"/>
      <c r="G38" s="16">
        <v>2025</v>
      </c>
      <c r="H38" s="9">
        <v>45778</v>
      </c>
      <c r="I38" s="9">
        <v>45930</v>
      </c>
      <c r="J38" s="15">
        <v>0</v>
      </c>
      <c r="K38" s="15">
        <v>-18952.599999999999</v>
      </c>
      <c r="L38" s="15">
        <v>0</v>
      </c>
      <c r="M38" s="15">
        <v>-123.873</v>
      </c>
      <c r="N38" s="15">
        <v>0</v>
      </c>
      <c r="O38" s="15">
        <v>19.824750000000002</v>
      </c>
      <c r="P38" s="15">
        <v>24.870999999999999</v>
      </c>
      <c r="Q38" s="15">
        <v>11.589</v>
      </c>
      <c r="R38" s="15">
        <v>0</v>
      </c>
      <c r="S38" s="15">
        <v>0</v>
      </c>
      <c r="T38" s="15">
        <v>0</v>
      </c>
      <c r="U38" s="15">
        <v>0</v>
      </c>
      <c r="V38" s="15">
        <v>153</v>
      </c>
      <c r="W38" s="15">
        <v>0</v>
      </c>
      <c r="X38" s="16"/>
      <c r="Y38" s="25">
        <v>41.584000000000003</v>
      </c>
      <c r="Z38" s="33">
        <v>-70.820999999999998</v>
      </c>
      <c r="AA38" s="16"/>
      <c r="AB38" s="16"/>
      <c r="AC38" s="16">
        <f t="shared" si="0"/>
        <v>1</v>
      </c>
      <c r="AD38" s="16">
        <f t="shared" si="1"/>
        <v>31</v>
      </c>
      <c r="AE38" s="16">
        <f t="shared" si="2"/>
        <v>31</v>
      </c>
      <c r="AF38" s="16">
        <f t="shared" si="3"/>
        <v>31</v>
      </c>
      <c r="AG38" s="16">
        <f t="shared" si="4"/>
        <v>31</v>
      </c>
      <c r="AH38" s="16">
        <f t="shared" si="5"/>
        <v>30</v>
      </c>
      <c r="AI38" s="16">
        <f t="shared" si="6"/>
        <v>5</v>
      </c>
      <c r="AJ38" s="16" t="str">
        <f t="shared" si="7"/>
        <v>PASS</v>
      </c>
      <c r="AK38" s="16" t="str">
        <f t="shared" si="8"/>
        <v>PASS</v>
      </c>
    </row>
    <row r="39" spans="1:38" x14ac:dyDescent="0.25">
      <c r="A39" s="29" t="s">
        <v>64</v>
      </c>
      <c r="B39" s="29" t="s">
        <v>104</v>
      </c>
      <c r="C39" s="29">
        <v>28.6</v>
      </c>
      <c r="D39" s="29" t="s">
        <v>115</v>
      </c>
      <c r="E39" s="30" t="s">
        <v>116</v>
      </c>
      <c r="F39" s="31"/>
      <c r="G39" s="31">
        <v>2025</v>
      </c>
      <c r="H39" s="32">
        <v>45778</v>
      </c>
      <c r="I39" s="32">
        <v>45930</v>
      </c>
      <c r="J39" s="30">
        <v>1640.42383</v>
      </c>
      <c r="K39" s="30">
        <v>-9501.6096699999998</v>
      </c>
      <c r="L39" s="30">
        <v>10.721724399999999</v>
      </c>
      <c r="M39" s="30">
        <v>-62.102024</v>
      </c>
      <c r="N39" s="30">
        <v>98.798000000000002</v>
      </c>
      <c r="O39" s="30">
        <v>26.452646000000001</v>
      </c>
      <c r="P39" s="30">
        <v>34.730499999999999</v>
      </c>
      <c r="Q39" s="30">
        <v>19.3331667</v>
      </c>
      <c r="R39" s="30">
        <v>49</v>
      </c>
      <c r="S39" s="30">
        <v>33</v>
      </c>
      <c r="T39" s="30">
        <v>1.2310606100000001</v>
      </c>
      <c r="U39" s="30">
        <v>0.35390704000000001</v>
      </c>
      <c r="V39" s="30">
        <v>153</v>
      </c>
      <c r="W39" s="30">
        <v>26.5522876</v>
      </c>
      <c r="X39" s="31"/>
      <c r="Y39" s="13">
        <v>34.903799999999997</v>
      </c>
      <c r="Z39" s="12">
        <v>-76.264880000000005</v>
      </c>
      <c r="AA39" s="31"/>
      <c r="AB39" s="31"/>
      <c r="AC39" s="16">
        <f t="shared" si="0"/>
        <v>1</v>
      </c>
      <c r="AD39" s="16">
        <f t="shared" si="1"/>
        <v>31</v>
      </c>
      <c r="AE39" s="16">
        <f t="shared" si="2"/>
        <v>31</v>
      </c>
      <c r="AF39" s="16">
        <f t="shared" si="3"/>
        <v>31</v>
      </c>
      <c r="AG39" s="16">
        <f t="shared" si="4"/>
        <v>31</v>
      </c>
      <c r="AH39" s="16">
        <f t="shared" si="5"/>
        <v>30</v>
      </c>
      <c r="AI39" s="16">
        <f t="shared" si="6"/>
        <v>5</v>
      </c>
      <c r="AJ39" s="16" t="str">
        <f t="shared" si="7"/>
        <v>PASS</v>
      </c>
      <c r="AK39" s="16" t="str">
        <f t="shared" si="8"/>
        <v>PASS</v>
      </c>
      <c r="AL39" s="31"/>
    </row>
    <row r="40" spans="1:38" x14ac:dyDescent="0.25">
      <c r="A40" s="31" t="s">
        <v>64</v>
      </c>
      <c r="B40" s="31" t="s">
        <v>65</v>
      </c>
      <c r="C40" s="31">
        <v>28.6</v>
      </c>
      <c r="D40" s="31" t="s">
        <v>117</v>
      </c>
      <c r="E40" s="30" t="s">
        <v>118</v>
      </c>
      <c r="F40" s="31"/>
      <c r="G40" s="31">
        <v>2025</v>
      </c>
      <c r="H40" s="32">
        <v>45778</v>
      </c>
      <c r="I40" s="32">
        <v>45912</v>
      </c>
      <c r="J40" s="30">
        <v>1243.2625</v>
      </c>
      <c r="K40" s="30">
        <v>-8439.0499999999993</v>
      </c>
      <c r="L40" s="30">
        <v>9.2093518499999991</v>
      </c>
      <c r="M40" s="30">
        <v>-62.511481500000002</v>
      </c>
      <c r="N40" s="30">
        <v>76.13</v>
      </c>
      <c r="O40" s="30">
        <v>26.3711789</v>
      </c>
      <c r="P40" s="30">
        <v>34.232500000000002</v>
      </c>
      <c r="Q40" s="30">
        <v>19.012499999999999</v>
      </c>
      <c r="R40" s="30">
        <v>31</v>
      </c>
      <c r="S40" s="30">
        <v>55</v>
      </c>
      <c r="T40" s="30">
        <v>0.56666667000000004</v>
      </c>
      <c r="U40" s="30">
        <v>0.13392039</v>
      </c>
      <c r="V40" s="30">
        <v>135</v>
      </c>
      <c r="W40" s="30">
        <v>23.1149567</v>
      </c>
      <c r="X40" s="31"/>
      <c r="Y40" s="12">
        <v>35.226329999999997</v>
      </c>
      <c r="Z40" s="12">
        <v>-75.728999999999999</v>
      </c>
      <c r="AA40" s="31"/>
      <c r="AB40" s="31"/>
      <c r="AC40" s="16">
        <f t="shared" si="0"/>
        <v>0.88235294117647056</v>
      </c>
      <c r="AD40" s="16">
        <f t="shared" si="1"/>
        <v>31</v>
      </c>
      <c r="AE40" s="16">
        <f t="shared" si="2"/>
        <v>31</v>
      </c>
      <c r="AF40" s="16">
        <f t="shared" si="3"/>
        <v>31</v>
      </c>
      <c r="AG40" s="16">
        <f t="shared" si="4"/>
        <v>31</v>
      </c>
      <c r="AH40" s="16">
        <f t="shared" si="5"/>
        <v>12</v>
      </c>
      <c r="AI40" s="16">
        <f t="shared" si="6"/>
        <v>5</v>
      </c>
      <c r="AJ40" s="16" t="str">
        <f t="shared" si="7"/>
        <v>PASS</v>
      </c>
      <c r="AK40" s="16" t="str">
        <f t="shared" si="8"/>
        <v>PASS</v>
      </c>
      <c r="AL40" s="31"/>
    </row>
    <row r="41" spans="1:38" x14ac:dyDescent="0.25">
      <c r="A41" s="31" t="s">
        <v>64</v>
      </c>
      <c r="B41" s="31" t="s">
        <v>65</v>
      </c>
      <c r="C41" s="31">
        <v>28.6</v>
      </c>
      <c r="D41" s="31" t="s">
        <v>119</v>
      </c>
      <c r="E41" s="30" t="s">
        <v>120</v>
      </c>
      <c r="F41" s="31"/>
      <c r="G41" s="31">
        <v>2025</v>
      </c>
      <c r="H41" s="32">
        <v>45778</v>
      </c>
      <c r="I41" s="32">
        <v>45930</v>
      </c>
      <c r="J41" s="30">
        <v>1434.3225</v>
      </c>
      <c r="K41" s="30">
        <v>-10879.111999999999</v>
      </c>
      <c r="L41" s="30">
        <v>9.37465686</v>
      </c>
      <c r="M41" s="30">
        <v>-71.105307199999999</v>
      </c>
      <c r="N41" s="30">
        <v>76.415000000000006</v>
      </c>
      <c r="O41" s="30">
        <v>26.021793800000001</v>
      </c>
      <c r="P41" s="30">
        <v>38.597499999999997</v>
      </c>
      <c r="Q41" s="30">
        <v>19.517499999999998</v>
      </c>
      <c r="R41" s="30">
        <v>46</v>
      </c>
      <c r="S41" s="30">
        <v>83</v>
      </c>
      <c r="T41" s="30">
        <v>0.32178715000000002</v>
      </c>
      <c r="U41" s="30">
        <v>6.8922849999999994E-2</v>
      </c>
      <c r="V41" s="30">
        <v>153</v>
      </c>
      <c r="W41" s="30">
        <v>17.456427000000001</v>
      </c>
      <c r="X41" s="31"/>
      <c r="Y41" s="12">
        <v>35.094830000000002</v>
      </c>
      <c r="Z41" s="12">
        <v>-76.008780000000002</v>
      </c>
      <c r="AA41" s="31"/>
      <c r="AB41" s="31"/>
      <c r="AC41" s="16">
        <f t="shared" si="0"/>
        <v>1</v>
      </c>
      <c r="AD41" s="16">
        <f t="shared" si="1"/>
        <v>31</v>
      </c>
      <c r="AE41" s="16">
        <f t="shared" si="2"/>
        <v>31</v>
      </c>
      <c r="AF41" s="16">
        <f t="shared" si="3"/>
        <v>31</v>
      </c>
      <c r="AG41" s="16">
        <f t="shared" si="4"/>
        <v>31</v>
      </c>
      <c r="AH41" s="16">
        <f t="shared" si="5"/>
        <v>30</v>
      </c>
      <c r="AI41" s="16">
        <f t="shared" si="6"/>
        <v>5</v>
      </c>
      <c r="AJ41" s="16" t="str">
        <f t="shared" si="7"/>
        <v>PASS</v>
      </c>
      <c r="AK41" s="16" t="str">
        <f t="shared" si="8"/>
        <v>PASS</v>
      </c>
      <c r="AL41" s="31"/>
    </row>
    <row r="42" spans="1:38" x14ac:dyDescent="0.25">
      <c r="A42" s="31" t="s">
        <v>64</v>
      </c>
      <c r="B42" s="31" t="s">
        <v>65</v>
      </c>
      <c r="C42" s="31">
        <v>28.6</v>
      </c>
      <c r="D42" s="31" t="s">
        <v>70</v>
      </c>
      <c r="E42" s="30" t="s">
        <v>71</v>
      </c>
      <c r="F42" s="31"/>
      <c r="G42" s="31">
        <v>2024</v>
      </c>
      <c r="H42" s="32">
        <v>45418</v>
      </c>
      <c r="I42" s="32">
        <v>45565</v>
      </c>
      <c r="J42" s="30">
        <v>802.75300000000004</v>
      </c>
      <c r="K42" s="30">
        <v>-8538.9042499999996</v>
      </c>
      <c r="L42" s="30">
        <v>5.4240067600000001</v>
      </c>
      <c r="M42" s="30">
        <v>-57.695298999999999</v>
      </c>
      <c r="N42" s="30">
        <v>48.347749999999998</v>
      </c>
      <c r="O42" s="30">
        <v>26.407933400000001</v>
      </c>
      <c r="P42" s="30">
        <v>32.325249999999997</v>
      </c>
      <c r="Q42" s="30">
        <v>17.940249999999999</v>
      </c>
      <c r="R42" s="30">
        <v>24</v>
      </c>
      <c r="S42" s="30">
        <v>55</v>
      </c>
      <c r="T42" s="30">
        <v>0.57727273000000001</v>
      </c>
      <c r="U42" s="30">
        <v>8.1850000000000006E-2</v>
      </c>
      <c r="V42" s="30">
        <v>148</v>
      </c>
      <c r="W42" s="30">
        <v>21.513269300000001</v>
      </c>
      <c r="X42" s="31"/>
      <c r="Y42">
        <v>35.483600000000003</v>
      </c>
      <c r="Z42">
        <v>-75.497</v>
      </c>
      <c r="AA42" s="31"/>
      <c r="AB42" s="31"/>
      <c r="AC42" s="16">
        <f t="shared" si="0"/>
        <v>0.9673202614379085</v>
      </c>
      <c r="AD42" s="16">
        <f t="shared" si="1"/>
        <v>26</v>
      </c>
      <c r="AE42" s="16">
        <f t="shared" si="2"/>
        <v>31</v>
      </c>
      <c r="AF42" s="16">
        <f t="shared" si="3"/>
        <v>31</v>
      </c>
      <c r="AG42" s="16">
        <f t="shared" si="4"/>
        <v>31</v>
      </c>
      <c r="AH42" s="16">
        <f t="shared" si="5"/>
        <v>30</v>
      </c>
      <c r="AI42" s="16">
        <f t="shared" si="6"/>
        <v>5</v>
      </c>
      <c r="AJ42" s="16" t="str">
        <f t="shared" si="7"/>
        <v>PASS</v>
      </c>
      <c r="AK42" s="16" t="str">
        <f t="shared" si="8"/>
        <v>PASS</v>
      </c>
      <c r="AL42" s="31"/>
    </row>
    <row r="43" spans="1:38" x14ac:dyDescent="0.25">
      <c r="A43" s="31" t="s">
        <v>64</v>
      </c>
      <c r="B43" s="31" t="s">
        <v>104</v>
      </c>
      <c r="C43" s="31">
        <v>28.6</v>
      </c>
      <c r="D43" s="31" t="s">
        <v>105</v>
      </c>
      <c r="E43" s="30" t="s">
        <v>106</v>
      </c>
      <c r="F43" s="31"/>
      <c r="G43" s="31">
        <v>2024</v>
      </c>
      <c r="H43" s="32">
        <v>45435</v>
      </c>
      <c r="I43" s="32">
        <v>45565</v>
      </c>
      <c r="J43" s="30">
        <v>613.1825</v>
      </c>
      <c r="K43" s="30">
        <v>-5716.7974999999997</v>
      </c>
      <c r="L43" s="30">
        <v>4.6807824399999998</v>
      </c>
      <c r="M43" s="30">
        <v>-43.639675599999997</v>
      </c>
      <c r="N43" s="30">
        <v>39.33</v>
      </c>
      <c r="O43" s="30">
        <v>26.962958</v>
      </c>
      <c r="P43" s="30">
        <v>32.677500000000002</v>
      </c>
      <c r="Q43" s="30">
        <v>21.8125</v>
      </c>
      <c r="R43" s="30">
        <v>40</v>
      </c>
      <c r="S43" s="30">
        <v>83</v>
      </c>
      <c r="T43" s="30">
        <v>0.32680723</v>
      </c>
      <c r="U43" s="30">
        <v>4.1479410000000001E-2</v>
      </c>
      <c r="V43" s="30">
        <v>131</v>
      </c>
      <c r="W43" s="30">
        <v>20.785440600000001</v>
      </c>
      <c r="X43" s="31"/>
      <c r="Y43" s="12">
        <v>34.660350000000001</v>
      </c>
      <c r="Z43" s="12">
        <v>-76.526300000000006</v>
      </c>
      <c r="AA43" s="31"/>
      <c r="AB43" s="31"/>
      <c r="AC43" s="16">
        <f t="shared" si="0"/>
        <v>0.85620915032679734</v>
      </c>
      <c r="AD43" s="16">
        <f t="shared" si="1"/>
        <v>9</v>
      </c>
      <c r="AE43" s="16">
        <f t="shared" si="2"/>
        <v>31</v>
      </c>
      <c r="AF43" s="16">
        <f t="shared" si="3"/>
        <v>31</v>
      </c>
      <c r="AG43" s="16">
        <f t="shared" si="4"/>
        <v>31</v>
      </c>
      <c r="AH43" s="16">
        <f t="shared" si="5"/>
        <v>30</v>
      </c>
      <c r="AI43" s="16">
        <f t="shared" si="6"/>
        <v>4</v>
      </c>
      <c r="AJ43" s="16" t="str">
        <f t="shared" si="7"/>
        <v>PASS</v>
      </c>
      <c r="AK43" s="16" t="str">
        <f t="shared" si="8"/>
        <v>PASS</v>
      </c>
      <c r="AL43" s="31"/>
    </row>
    <row r="44" spans="1:38" x14ac:dyDescent="0.25">
      <c r="A44" s="31" t="s">
        <v>64</v>
      </c>
      <c r="B44" s="31" t="s">
        <v>104</v>
      </c>
      <c r="C44" s="31">
        <v>28.6</v>
      </c>
      <c r="D44" s="31" t="s">
        <v>105</v>
      </c>
      <c r="E44" s="30" t="s">
        <v>106</v>
      </c>
      <c r="F44" s="31"/>
      <c r="G44" s="31">
        <v>2025</v>
      </c>
      <c r="H44" s="32">
        <v>45778</v>
      </c>
      <c r="I44" s="32">
        <v>45930</v>
      </c>
      <c r="J44" s="30">
        <v>1757.5074999999999</v>
      </c>
      <c r="K44" s="30">
        <v>-9024.32</v>
      </c>
      <c r="L44" s="30">
        <v>11.486977100000001</v>
      </c>
      <c r="M44" s="30">
        <v>-58.982483700000003</v>
      </c>
      <c r="N44" s="30">
        <v>55.167499999999997</v>
      </c>
      <c r="O44" s="30">
        <v>26.630958</v>
      </c>
      <c r="P44" s="30">
        <v>38.06</v>
      </c>
      <c r="Q44" s="30">
        <v>18.702500000000001</v>
      </c>
      <c r="R44" s="30">
        <v>49</v>
      </c>
      <c r="S44" s="30">
        <v>112</v>
      </c>
      <c r="T44" s="30">
        <v>0.34672618999999999</v>
      </c>
      <c r="U44" s="30">
        <v>4.1378150000000002E-2</v>
      </c>
      <c r="V44" s="30">
        <v>153</v>
      </c>
      <c r="W44" s="30">
        <v>25.520262899999999</v>
      </c>
      <c r="X44" s="31"/>
      <c r="Y44" s="12">
        <v>34.660350000000001</v>
      </c>
      <c r="Z44" s="12">
        <v>-76.526300000000006</v>
      </c>
      <c r="AA44" s="31"/>
      <c r="AB44" s="31"/>
      <c r="AC44" s="16">
        <f t="shared" si="0"/>
        <v>1</v>
      </c>
      <c r="AD44" s="16">
        <f t="shared" si="1"/>
        <v>31</v>
      </c>
      <c r="AE44" s="16">
        <f t="shared" si="2"/>
        <v>31</v>
      </c>
      <c r="AF44" s="16">
        <f t="shared" si="3"/>
        <v>31</v>
      </c>
      <c r="AG44" s="16">
        <f t="shared" si="4"/>
        <v>31</v>
      </c>
      <c r="AH44" s="16">
        <f t="shared" si="5"/>
        <v>30</v>
      </c>
      <c r="AI44" s="16">
        <f t="shared" si="6"/>
        <v>5</v>
      </c>
      <c r="AJ44" s="16" t="str">
        <f t="shared" si="7"/>
        <v>PASS</v>
      </c>
      <c r="AK44" s="16" t="str">
        <f t="shared" si="8"/>
        <v>PASS</v>
      </c>
      <c r="AL44" s="31"/>
    </row>
    <row r="45" spans="1:38" x14ac:dyDescent="0.25">
      <c r="A45" s="16" t="s">
        <v>64</v>
      </c>
      <c r="B45" s="16" t="s">
        <v>104</v>
      </c>
      <c r="C45" s="16">
        <v>28.6</v>
      </c>
      <c r="D45" s="16" t="s">
        <v>121</v>
      </c>
      <c r="E45" s="15" t="s">
        <v>122</v>
      </c>
      <c r="G45" s="31">
        <v>2025</v>
      </c>
      <c r="H45" s="2">
        <v>45778</v>
      </c>
      <c r="I45" s="2">
        <v>45930</v>
      </c>
      <c r="J45" s="1">
        <v>1736.2149999999999</v>
      </c>
      <c r="K45" s="1">
        <v>-8507.1200000000008</v>
      </c>
      <c r="L45" s="1">
        <v>12.490755399999999</v>
      </c>
      <c r="M45" s="1">
        <v>-61.202302199999998</v>
      </c>
      <c r="N45" s="1">
        <v>115.5675</v>
      </c>
      <c r="O45" s="1">
        <v>26.584016600000002</v>
      </c>
      <c r="P45" s="1">
        <v>35.344999999999999</v>
      </c>
      <c r="Q45" s="1">
        <v>17.887499999999999</v>
      </c>
      <c r="R45" s="1">
        <v>35</v>
      </c>
      <c r="S45" s="1">
        <v>50</v>
      </c>
      <c r="T45" s="1">
        <v>0.71250000000000002</v>
      </c>
      <c r="U45" s="1">
        <v>0.21937492</v>
      </c>
      <c r="V45" s="1">
        <v>139</v>
      </c>
      <c r="W45" s="1">
        <v>25.784077199999999</v>
      </c>
      <c r="Y45">
        <v>34.768430000000002</v>
      </c>
      <c r="Z45">
        <v>-76.434219999999996</v>
      </c>
      <c r="AC45" s="16">
        <f t="shared" si="0"/>
        <v>0.90849673202614378</v>
      </c>
      <c r="AD45" s="16">
        <f t="shared" si="1"/>
        <v>31</v>
      </c>
      <c r="AE45" s="16">
        <f t="shared" si="2"/>
        <v>31</v>
      </c>
      <c r="AF45" s="16">
        <f t="shared" si="3"/>
        <v>31</v>
      </c>
      <c r="AG45" s="16">
        <f t="shared" si="4"/>
        <v>31</v>
      </c>
      <c r="AH45" s="16">
        <f t="shared" si="5"/>
        <v>30</v>
      </c>
      <c r="AI45" s="16">
        <f t="shared" si="6"/>
        <v>5</v>
      </c>
      <c r="AJ45" s="16" t="str">
        <f t="shared" si="7"/>
        <v>PASS</v>
      </c>
      <c r="AK45" s="16" t="str">
        <f t="shared" si="8"/>
        <v>PASS</v>
      </c>
    </row>
  </sheetData>
  <autoFilter ref="A1:AK1" xr:uid="{4573B4BA-CB31-49B4-ABC2-F6AC4FA62BB7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E9E7-AEFB-4517-8620-266E0037B13F}">
  <dimension ref="A1:A3"/>
  <sheetViews>
    <sheetView workbookViewId="0">
      <selection activeCell="D7" sqref="D7"/>
    </sheetView>
  </sheetViews>
  <sheetFormatPr defaultRowHeight="15" x14ac:dyDescent="0.25"/>
  <sheetData>
    <row r="1" spans="1:1" x14ac:dyDescent="0.25">
      <c r="A1" t="s">
        <v>123</v>
      </c>
    </row>
    <row r="3" spans="1:1" x14ac:dyDescent="0.25">
      <c r="A3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8F60-5AE1-46B2-AF29-2001F56747CE}">
  <dimension ref="A1:AU53"/>
  <sheetViews>
    <sheetView topLeftCell="A11" workbookViewId="0">
      <selection activeCell="D30" sqref="D30"/>
    </sheetView>
  </sheetViews>
  <sheetFormatPr defaultRowHeight="15" x14ac:dyDescent="0.25"/>
  <cols>
    <col min="4" max="4" width="12.7109375" customWidth="1"/>
    <col min="5" max="5" width="23" bestFit="1" customWidth="1"/>
    <col min="6" max="6" width="14.5703125" customWidth="1"/>
    <col min="7" max="8" width="10.42578125" bestFit="1" customWidth="1"/>
    <col min="9" max="9" width="9.28515625" bestFit="1" customWidth="1"/>
    <col min="11" max="11" width="9.28515625" bestFit="1" customWidth="1"/>
    <col min="12" max="12" width="17.28515625" customWidth="1"/>
    <col min="14" max="14" width="9.28515625" bestFit="1" customWidth="1"/>
    <col min="16" max="16" width="9.28515625" bestFit="1" customWidth="1"/>
    <col min="18" max="18" width="24.7109375" bestFit="1" customWidth="1"/>
    <col min="19" max="19" width="14" customWidth="1"/>
    <col min="20" max="20" width="9.28515625" bestFit="1" customWidth="1"/>
    <col min="22" max="22" width="9.28515625" bestFit="1" customWidth="1"/>
    <col min="26" max="26" width="57.85546875" customWidth="1"/>
    <col min="28" max="28" width="14.85546875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3" t="s">
        <v>23</v>
      </c>
      <c r="X1" s="3" t="s">
        <v>125</v>
      </c>
      <c r="Y1" s="3" t="s">
        <v>126</v>
      </c>
      <c r="Z1" s="3" t="s">
        <v>26</v>
      </c>
      <c r="AA1" s="4" t="s">
        <v>27</v>
      </c>
      <c r="AB1" s="3" t="s">
        <v>127</v>
      </c>
    </row>
    <row r="2" spans="1:28" s="6" customFormat="1" x14ac:dyDescent="0.25">
      <c r="A2" t="s">
        <v>37</v>
      </c>
      <c r="B2" s="6" t="s">
        <v>38</v>
      </c>
      <c r="C2" s="6">
        <v>25</v>
      </c>
      <c r="D2" s="6" t="s">
        <v>39</v>
      </c>
      <c r="E2" s="7" t="s">
        <v>40</v>
      </c>
      <c r="F2" s="7" t="s">
        <v>41</v>
      </c>
      <c r="G2" s="10">
        <v>37789</v>
      </c>
      <c r="H2" s="10">
        <v>45862</v>
      </c>
      <c r="I2" s="7">
        <v>13654.158750000001</v>
      </c>
      <c r="J2" s="7">
        <v>-288567.5514</v>
      </c>
      <c r="K2" s="7">
        <v>4.9778194500000001</v>
      </c>
      <c r="L2" s="7">
        <v>-105.2014405</v>
      </c>
      <c r="M2" s="7">
        <v>105.515</v>
      </c>
      <c r="N2" s="7">
        <v>20.814178070000001</v>
      </c>
      <c r="O2" s="7">
        <v>31.970500000000001</v>
      </c>
      <c r="P2" s="7">
        <v>6.8512500000000003</v>
      </c>
      <c r="Q2" s="7">
        <v>41</v>
      </c>
      <c r="R2" s="7">
        <v>1307</v>
      </c>
      <c r="S2" s="7">
        <v>0.31242030100000001</v>
      </c>
      <c r="T2" s="7">
        <v>1.1798628E-2</v>
      </c>
      <c r="U2" s="7">
        <v>2743</v>
      </c>
      <c r="V2" s="7">
        <v>15.036901780000001</v>
      </c>
      <c r="X2" s="6">
        <v>41.751730999999999</v>
      </c>
      <c r="Y2" s="6">
        <v>-69.955561399999993</v>
      </c>
      <c r="Z2" s="6" t="s">
        <v>128</v>
      </c>
      <c r="AA2" s="7" t="s">
        <v>129</v>
      </c>
      <c r="AB2" s="6">
        <v>5.8</v>
      </c>
    </row>
    <row r="3" spans="1:28" s="6" customFormat="1" x14ac:dyDescent="0.25">
      <c r="A3" t="s">
        <v>37</v>
      </c>
      <c r="B3" s="6" t="s">
        <v>38</v>
      </c>
      <c r="C3" s="6">
        <v>25</v>
      </c>
      <c r="D3" s="6" t="s">
        <v>39</v>
      </c>
      <c r="E3" s="7" t="s">
        <v>40</v>
      </c>
      <c r="F3" s="7" t="s">
        <v>42</v>
      </c>
      <c r="G3" s="10">
        <v>44035</v>
      </c>
      <c r="H3" s="10">
        <v>45867</v>
      </c>
      <c r="I3" s="7">
        <v>4301.8532500000001</v>
      </c>
      <c r="J3" s="7">
        <v>-55490.351999999999</v>
      </c>
      <c r="K3" s="7">
        <v>6.9161627809999997</v>
      </c>
      <c r="L3" s="7">
        <v>-89.212784569999997</v>
      </c>
      <c r="M3" s="7">
        <v>71.474999999999994</v>
      </c>
      <c r="N3" s="7">
        <v>21.571154709999998</v>
      </c>
      <c r="O3" s="7">
        <v>30.608750000000001</v>
      </c>
      <c r="P3" s="7">
        <v>8.7732500000000009</v>
      </c>
      <c r="Q3" s="7">
        <v>29</v>
      </c>
      <c r="R3" s="7">
        <v>298</v>
      </c>
      <c r="S3" s="7">
        <v>0.42729306500000003</v>
      </c>
      <c r="T3" s="7">
        <v>3.7866658999999997E-2</v>
      </c>
      <c r="U3" s="7">
        <v>622</v>
      </c>
      <c r="V3" s="7">
        <v>20.50043604</v>
      </c>
      <c r="X3" s="6">
        <v>41.751730999999999</v>
      </c>
      <c r="Y3" s="6">
        <v>-69.955561399999993</v>
      </c>
      <c r="AA3" s="6" t="s">
        <v>130</v>
      </c>
      <c r="AB3" s="6">
        <v>5.8</v>
      </c>
    </row>
    <row r="4" spans="1:28" s="6" customFormat="1" x14ac:dyDescent="0.25">
      <c r="A4" t="s">
        <v>37</v>
      </c>
      <c r="B4" s="6" t="s">
        <v>38</v>
      </c>
      <c r="C4" s="6">
        <v>25</v>
      </c>
      <c r="D4" s="6" t="s">
        <v>39</v>
      </c>
      <c r="E4" s="7" t="s">
        <v>40</v>
      </c>
      <c r="F4" s="7" t="s">
        <v>43</v>
      </c>
      <c r="G4" s="10">
        <v>37789</v>
      </c>
      <c r="H4" s="10">
        <v>45862</v>
      </c>
      <c r="I4" s="7">
        <v>7669.2209999999995</v>
      </c>
      <c r="J4" s="7">
        <v>-311761.8701</v>
      </c>
      <c r="K4" s="7">
        <v>2.7959245350000002</v>
      </c>
      <c r="L4" s="7">
        <v>-113.65726220000001</v>
      </c>
      <c r="M4" s="7">
        <v>74.614999999999995</v>
      </c>
      <c r="N4" s="7">
        <v>20.361572110000001</v>
      </c>
      <c r="O4" s="7">
        <v>30.004000000000001</v>
      </c>
      <c r="P4" s="7">
        <v>7.3680000000000003</v>
      </c>
      <c r="Q4" s="7">
        <v>29</v>
      </c>
      <c r="R4" s="7">
        <v>775</v>
      </c>
      <c r="S4" s="7">
        <v>0.374892473</v>
      </c>
      <c r="T4" s="7">
        <v>2.0068372000000001E-2</v>
      </c>
      <c r="U4" s="7">
        <v>2743</v>
      </c>
      <c r="V4" s="7">
        <v>10.702336000000001</v>
      </c>
      <c r="X4" s="6">
        <v>41.751730999999999</v>
      </c>
      <c r="Y4" s="6">
        <v>-69.955561399999993</v>
      </c>
      <c r="Z4" s="6" t="s">
        <v>128</v>
      </c>
      <c r="AA4" s="6" t="s">
        <v>129</v>
      </c>
      <c r="AB4" s="6">
        <v>5.8</v>
      </c>
    </row>
    <row r="5" spans="1:28" s="6" customFormat="1" x14ac:dyDescent="0.25">
      <c r="A5" t="s">
        <v>37</v>
      </c>
      <c r="B5" s="6" t="s">
        <v>38</v>
      </c>
      <c r="C5" s="6">
        <v>25</v>
      </c>
      <c r="D5" s="6" t="s">
        <v>131</v>
      </c>
      <c r="E5" s="7" t="s">
        <v>132</v>
      </c>
      <c r="F5" s="6" t="s">
        <v>41</v>
      </c>
      <c r="G5" s="10">
        <v>37819</v>
      </c>
      <c r="H5" s="10">
        <v>45497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X5" s="6">
        <v>41.945903000000001</v>
      </c>
      <c r="Y5" s="6">
        <v>-70.079549999999998</v>
      </c>
      <c r="Z5" s="6" t="s">
        <v>133</v>
      </c>
      <c r="AB5" s="6">
        <v>0</v>
      </c>
    </row>
    <row r="6" spans="1:28" s="6" customFormat="1" x14ac:dyDescent="0.25">
      <c r="A6" t="s">
        <v>37</v>
      </c>
      <c r="B6" s="6" t="s">
        <v>38</v>
      </c>
      <c r="C6" s="6">
        <v>25</v>
      </c>
      <c r="D6" s="6" t="s">
        <v>131</v>
      </c>
      <c r="E6" s="7" t="s">
        <v>132</v>
      </c>
      <c r="F6" s="7" t="s">
        <v>42</v>
      </c>
      <c r="G6" s="10">
        <v>44035</v>
      </c>
      <c r="H6" s="10">
        <v>45497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X6" s="6">
        <v>41.945903000000001</v>
      </c>
      <c r="Y6" s="6">
        <v>-70.079549999999998</v>
      </c>
      <c r="Z6" s="6" t="s">
        <v>134</v>
      </c>
      <c r="AA6" s="6" t="s">
        <v>130</v>
      </c>
      <c r="AB6" s="6">
        <v>0</v>
      </c>
    </row>
    <row r="7" spans="1:28" s="6" customFormat="1" x14ac:dyDescent="0.25">
      <c r="A7" s="6" t="s">
        <v>37</v>
      </c>
      <c r="B7" s="6" t="s">
        <v>38</v>
      </c>
      <c r="C7" s="6">
        <v>25</v>
      </c>
      <c r="D7" s="6" t="s">
        <v>131</v>
      </c>
      <c r="E7" s="7" t="s">
        <v>132</v>
      </c>
      <c r="F7" s="6" t="s">
        <v>43</v>
      </c>
      <c r="G7" s="10">
        <v>37789</v>
      </c>
      <c r="H7" s="10">
        <v>44074</v>
      </c>
      <c r="I7" s="7">
        <v>800.93200000000002</v>
      </c>
      <c r="J7" s="7">
        <v>-311544.43199999997</v>
      </c>
      <c r="K7" s="7">
        <v>0.39591300000000001</v>
      </c>
      <c r="L7" s="7">
        <v>-154.00120200000001</v>
      </c>
      <c r="M7" s="7">
        <v>42.207749999999997</v>
      </c>
      <c r="N7" s="7">
        <v>18.506359199999999</v>
      </c>
      <c r="O7" s="7">
        <v>27.640499999999999</v>
      </c>
      <c r="P7" s="7">
        <v>5.04</v>
      </c>
      <c r="Q7" s="7">
        <v>15</v>
      </c>
      <c r="R7" s="7">
        <v>146</v>
      </c>
      <c r="S7" s="7">
        <v>0.32962329000000001</v>
      </c>
      <c r="T7" s="7">
        <v>5.041085E-2</v>
      </c>
      <c r="U7" s="7">
        <v>2023</v>
      </c>
      <c r="V7" s="7">
        <v>2.41500439</v>
      </c>
      <c r="X7" s="6">
        <v>41.945903000000001</v>
      </c>
      <c r="Y7" s="6">
        <v>-70.079549999999998</v>
      </c>
      <c r="AA7" s="6" t="s">
        <v>130</v>
      </c>
      <c r="AB7" s="6">
        <v>0</v>
      </c>
    </row>
    <row r="8" spans="1:28" s="6" customFormat="1" x14ac:dyDescent="0.25">
      <c r="A8" t="s">
        <v>37</v>
      </c>
      <c r="B8" s="6" t="s">
        <v>38</v>
      </c>
      <c r="C8" s="6">
        <v>25</v>
      </c>
      <c r="D8" s="6" t="s">
        <v>135</v>
      </c>
      <c r="E8" s="6" t="s">
        <v>136</v>
      </c>
      <c r="F8" s="6" t="s">
        <v>73</v>
      </c>
      <c r="G8" s="10">
        <v>43283</v>
      </c>
      <c r="H8" s="10">
        <v>45169</v>
      </c>
      <c r="I8" s="7">
        <v>4506.6414999999997</v>
      </c>
      <c r="J8" s="7">
        <v>-13620.332329999999</v>
      </c>
      <c r="K8" s="7">
        <v>16.44759672</v>
      </c>
      <c r="L8" s="7">
        <v>-49.709242089999996</v>
      </c>
      <c r="M8" s="7">
        <v>98.002750000000006</v>
      </c>
      <c r="N8" s="7">
        <v>23.558776739999999</v>
      </c>
      <c r="O8" s="7">
        <v>31.016749999999998</v>
      </c>
      <c r="P8" s="7">
        <v>10.839</v>
      </c>
      <c r="Q8" s="7">
        <v>45</v>
      </c>
      <c r="R8" s="7">
        <v>85</v>
      </c>
      <c r="S8" s="7">
        <v>1.2823529410000001</v>
      </c>
      <c r="T8" s="7">
        <v>0.27750866099999999</v>
      </c>
      <c r="U8" s="7">
        <v>274</v>
      </c>
      <c r="V8" s="7">
        <v>40.558139529999998</v>
      </c>
      <c r="X8" s="8">
        <v>42.055636</v>
      </c>
      <c r="Y8" s="8">
        <v>70.124091000000007</v>
      </c>
      <c r="Z8" s="6" t="s">
        <v>137</v>
      </c>
      <c r="AA8" s="6" t="s">
        <v>129</v>
      </c>
      <c r="AB8" s="6">
        <v>1</v>
      </c>
    </row>
    <row r="9" spans="1:28" x14ac:dyDescent="0.25">
      <c r="A9" t="s">
        <v>46</v>
      </c>
      <c r="B9" t="s">
        <v>47</v>
      </c>
      <c r="C9">
        <v>28.6</v>
      </c>
      <c r="D9" t="s">
        <v>138</v>
      </c>
      <c r="E9" t="s">
        <v>139</v>
      </c>
      <c r="F9" t="s">
        <v>73</v>
      </c>
      <c r="G9" s="2">
        <v>45413</v>
      </c>
      <c r="H9" s="2">
        <v>45514</v>
      </c>
      <c r="I9">
        <v>176.66800000000001</v>
      </c>
      <c r="J9">
        <v>-11920.797500000001</v>
      </c>
      <c r="K9">
        <v>1.7320392156862701</v>
      </c>
      <c r="L9">
        <v>-116.87056372549</v>
      </c>
      <c r="M9">
        <v>23.365500000000001</v>
      </c>
      <c r="N9">
        <v>23.774881017334501</v>
      </c>
      <c r="O9">
        <v>31.077000000000002</v>
      </c>
      <c r="P9">
        <v>12.641999999999999</v>
      </c>
      <c r="Q9">
        <v>7</v>
      </c>
      <c r="R9">
        <v>27</v>
      </c>
      <c r="S9">
        <v>0.35648148148148101</v>
      </c>
      <c r="T9">
        <v>3.8798055634655999E-2</v>
      </c>
      <c r="U9">
        <v>102</v>
      </c>
      <c r="V9">
        <v>9.49</v>
      </c>
      <c r="X9">
        <v>38.284416999999998</v>
      </c>
      <c r="Y9">
        <v>-75.126347999999993</v>
      </c>
      <c r="AA9" t="s">
        <v>129</v>
      </c>
    </row>
    <row r="10" spans="1:28" x14ac:dyDescent="0.25">
      <c r="A10" t="s">
        <v>46</v>
      </c>
      <c r="B10" t="s">
        <v>47</v>
      </c>
      <c r="C10">
        <v>28.6</v>
      </c>
      <c r="D10" t="s">
        <v>140</v>
      </c>
      <c r="E10" t="s">
        <v>141</v>
      </c>
      <c r="F10" t="s">
        <v>73</v>
      </c>
      <c r="G10" s="2">
        <v>45413</v>
      </c>
      <c r="H10" s="2">
        <v>45514</v>
      </c>
      <c r="I10">
        <v>267.56700000000001</v>
      </c>
      <c r="J10">
        <v>-9081.2009999999991</v>
      </c>
      <c r="K10">
        <v>2.6232058823529401</v>
      </c>
      <c r="L10">
        <v>-89.031382352941193</v>
      </c>
      <c r="M10">
        <v>34.204000000000001</v>
      </c>
      <c r="N10">
        <v>24.975038417916199</v>
      </c>
      <c r="O10">
        <v>31.547999999999998</v>
      </c>
      <c r="P10">
        <v>15.664</v>
      </c>
      <c r="Q10">
        <v>8</v>
      </c>
      <c r="R10">
        <v>26</v>
      </c>
      <c r="S10">
        <v>0.43910256410256399</v>
      </c>
      <c r="T10">
        <v>9.9201695204068699E-2</v>
      </c>
      <c r="U10">
        <v>102</v>
      </c>
      <c r="V10">
        <v>11.2</v>
      </c>
      <c r="X10">
        <v>37.988320000000002</v>
      </c>
      <c r="Y10">
        <v>-75.336609999999993</v>
      </c>
      <c r="AA10" t="s">
        <v>129</v>
      </c>
    </row>
    <row r="11" spans="1:28" x14ac:dyDescent="0.25">
      <c r="A11" t="s">
        <v>46</v>
      </c>
      <c r="B11" t="s">
        <v>47</v>
      </c>
      <c r="C11">
        <v>28.6</v>
      </c>
      <c r="D11" t="s">
        <v>48</v>
      </c>
      <c r="E11" t="s">
        <v>49</v>
      </c>
      <c r="F11" t="s">
        <v>41</v>
      </c>
      <c r="G11" s="2">
        <v>39974</v>
      </c>
      <c r="H11" s="2">
        <v>45813</v>
      </c>
      <c r="I11" s="1">
        <v>14294.3225</v>
      </c>
      <c r="J11" s="1">
        <v>-156222.53700000001</v>
      </c>
      <c r="K11" s="1">
        <v>7.8367996160000004</v>
      </c>
      <c r="L11" s="1">
        <v>-85.648320699999999</v>
      </c>
      <c r="M11" s="1">
        <v>95.444000000000003</v>
      </c>
      <c r="N11" s="1">
        <v>25.3221737</v>
      </c>
      <c r="O11" s="1">
        <v>36.011499999999998</v>
      </c>
      <c r="P11" s="1">
        <v>9.9275000000000002</v>
      </c>
      <c r="Q11" s="1">
        <v>51</v>
      </c>
      <c r="R11" s="1">
        <v>748</v>
      </c>
      <c r="S11" s="1">
        <v>0.53370097999999999</v>
      </c>
      <c r="T11" s="1">
        <v>2.4642839999999999E-2</v>
      </c>
      <c r="U11" s="1">
        <v>1824</v>
      </c>
      <c r="V11">
        <v>22</v>
      </c>
      <c r="X11">
        <v>38.187486</v>
      </c>
      <c r="Y11">
        <v>-75.182463999999996</v>
      </c>
      <c r="AA11" t="s">
        <v>129</v>
      </c>
      <c r="AB11">
        <v>17.100000000000001</v>
      </c>
    </row>
    <row r="12" spans="1:28" x14ac:dyDescent="0.25">
      <c r="A12" t="s">
        <v>46</v>
      </c>
      <c r="B12" t="s">
        <v>47</v>
      </c>
      <c r="C12">
        <v>28.6</v>
      </c>
      <c r="D12" t="s">
        <v>48</v>
      </c>
      <c r="E12" t="s">
        <v>49</v>
      </c>
      <c r="F12" t="s">
        <v>42</v>
      </c>
      <c r="G12" s="2">
        <v>44317</v>
      </c>
      <c r="H12" s="2">
        <v>45813</v>
      </c>
      <c r="I12">
        <v>2578.0814999999998</v>
      </c>
      <c r="J12">
        <v>-51408.116999999998</v>
      </c>
      <c r="K12">
        <v>4.8827301136363603</v>
      </c>
      <c r="L12">
        <v>-97.363857954545495</v>
      </c>
      <c r="M12">
        <v>52.191000000000003</v>
      </c>
      <c r="N12">
        <v>24.727384065988801</v>
      </c>
      <c r="O12">
        <v>33.469000000000001</v>
      </c>
      <c r="P12">
        <v>8.2949999999999999</v>
      </c>
      <c r="Q12">
        <v>32</v>
      </c>
      <c r="R12">
        <v>169</v>
      </c>
      <c r="S12">
        <v>0.54142011834319503</v>
      </c>
      <c r="T12">
        <v>4.9072038850700203E-2</v>
      </c>
      <c r="U12">
        <v>528</v>
      </c>
      <c r="V12">
        <v>17.3</v>
      </c>
      <c r="X12">
        <v>38.187486</v>
      </c>
      <c r="Y12">
        <v>-75.182463999999996</v>
      </c>
      <c r="AA12" t="s">
        <v>129</v>
      </c>
      <c r="AB12">
        <v>17.100000000000001</v>
      </c>
    </row>
    <row r="13" spans="1:28" x14ac:dyDescent="0.25">
      <c r="A13" t="s">
        <v>46</v>
      </c>
      <c r="B13" t="s">
        <v>47</v>
      </c>
      <c r="C13">
        <v>28.6</v>
      </c>
      <c r="D13" t="s">
        <v>48</v>
      </c>
      <c r="E13" t="s">
        <v>49</v>
      </c>
      <c r="F13" t="s">
        <v>43</v>
      </c>
      <c r="G13" s="2">
        <v>39974</v>
      </c>
      <c r="H13" s="2">
        <v>45813</v>
      </c>
      <c r="I13">
        <v>9700.8134999999893</v>
      </c>
      <c r="J13">
        <v>-173457.5515</v>
      </c>
      <c r="K13">
        <v>5.1056913157894703</v>
      </c>
      <c r="L13">
        <v>-91.293448157894801</v>
      </c>
      <c r="M13">
        <v>88.210999999999999</v>
      </c>
      <c r="N13">
        <v>24.990983315651299</v>
      </c>
      <c r="O13">
        <v>33.822000000000003</v>
      </c>
      <c r="P13">
        <v>8.7919999999999998</v>
      </c>
      <c r="Q13">
        <v>39</v>
      </c>
      <c r="R13">
        <v>520</v>
      </c>
      <c r="S13">
        <v>0.65641025641025597</v>
      </c>
      <c r="T13">
        <v>4.1127953364574803E-2</v>
      </c>
      <c r="U13">
        <v>1900</v>
      </c>
      <c r="V13">
        <v>18</v>
      </c>
      <c r="X13">
        <v>38.187486</v>
      </c>
      <c r="Y13">
        <v>-75.182463999999996</v>
      </c>
      <c r="AA13" t="s">
        <v>129</v>
      </c>
      <c r="AB13">
        <v>17.100000000000001</v>
      </c>
    </row>
    <row r="14" spans="1:28" x14ac:dyDescent="0.25">
      <c r="A14" t="s">
        <v>50</v>
      </c>
      <c r="B14" t="s">
        <v>51</v>
      </c>
      <c r="C14">
        <v>28.6</v>
      </c>
      <c r="D14" t="s">
        <v>52</v>
      </c>
      <c r="E14" t="s">
        <v>53</v>
      </c>
      <c r="F14" t="s">
        <v>41</v>
      </c>
      <c r="G14" s="2">
        <v>44418</v>
      </c>
      <c r="H14" s="2">
        <v>45876</v>
      </c>
      <c r="I14">
        <v>74.260833333333196</v>
      </c>
      <c r="J14">
        <v>-59285.568083333303</v>
      </c>
      <c r="K14">
        <v>0.226404979674796</v>
      </c>
      <c r="L14">
        <v>-180.74868318089401</v>
      </c>
      <c r="M14">
        <v>8.9572499999999895</v>
      </c>
      <c r="N14">
        <v>21.0317791733296</v>
      </c>
      <c r="O14">
        <v>30.74775</v>
      </c>
      <c r="P14">
        <v>8.6679999999999993</v>
      </c>
      <c r="Q14">
        <v>4</v>
      </c>
      <c r="R14">
        <v>22</v>
      </c>
      <c r="S14">
        <v>0.189393939393939</v>
      </c>
      <c r="T14">
        <v>1.95255612041869E-2</v>
      </c>
      <c r="U14">
        <v>328</v>
      </c>
      <c r="V14">
        <v>1.28</v>
      </c>
      <c r="X14">
        <v>40.766392000000003</v>
      </c>
      <c r="Y14">
        <v>-72.788008000000005</v>
      </c>
      <c r="Z14" t="s">
        <v>142</v>
      </c>
      <c r="AA14" t="s">
        <v>129</v>
      </c>
      <c r="AB14">
        <v>2.9</v>
      </c>
    </row>
    <row r="15" spans="1:28" x14ac:dyDescent="0.25">
      <c r="A15" t="s">
        <v>50</v>
      </c>
      <c r="B15" t="s">
        <v>51</v>
      </c>
      <c r="C15">
        <v>28.6</v>
      </c>
      <c r="D15" t="s">
        <v>52</v>
      </c>
      <c r="E15" t="s">
        <v>53</v>
      </c>
      <c r="F15" t="s">
        <v>42</v>
      </c>
      <c r="G15" s="2">
        <v>44418</v>
      </c>
      <c r="H15" s="2">
        <v>45876</v>
      </c>
      <c r="I15">
        <v>91.188416666666399</v>
      </c>
      <c r="J15">
        <v>-84466.342499999999</v>
      </c>
      <c r="K15">
        <v>0.186098809523809</v>
      </c>
      <c r="L15">
        <v>-172.380290816327</v>
      </c>
      <c r="M15">
        <v>7.4289999999999896</v>
      </c>
      <c r="N15">
        <v>21.396931014440899</v>
      </c>
      <c r="O15">
        <v>30.589500000000001</v>
      </c>
      <c r="P15">
        <v>8.6929999999999996</v>
      </c>
      <c r="Q15">
        <v>5</v>
      </c>
      <c r="R15">
        <v>46</v>
      </c>
      <c r="S15">
        <v>0.14673913043478301</v>
      </c>
      <c r="T15">
        <v>1.07379307876305E-2</v>
      </c>
      <c r="U15">
        <v>490</v>
      </c>
      <c r="V15">
        <v>1.38</v>
      </c>
      <c r="X15">
        <v>40.766392000000003</v>
      </c>
      <c r="Y15">
        <v>-72.788008000000005</v>
      </c>
      <c r="Z15" t="s">
        <v>143</v>
      </c>
      <c r="AA15" t="s">
        <v>129</v>
      </c>
      <c r="AB15">
        <v>2.9</v>
      </c>
    </row>
    <row r="16" spans="1:28" x14ac:dyDescent="0.25">
      <c r="A16" t="s">
        <v>50</v>
      </c>
      <c r="B16" t="s">
        <v>51</v>
      </c>
      <c r="C16">
        <v>28.6</v>
      </c>
      <c r="D16" t="s">
        <v>52</v>
      </c>
      <c r="E16" t="s">
        <v>53</v>
      </c>
      <c r="F16" t="s">
        <v>43</v>
      </c>
      <c r="G16" s="2">
        <v>44418</v>
      </c>
      <c r="H16" s="2">
        <v>45876</v>
      </c>
      <c r="I16">
        <v>11.984499999999899</v>
      </c>
      <c r="J16">
        <v>-64201.219499999999</v>
      </c>
      <c r="K16">
        <v>3.3664325842696498E-2</v>
      </c>
      <c r="L16">
        <v>-180.340504213483</v>
      </c>
      <c r="M16">
        <v>3.09574999999999</v>
      </c>
      <c r="N16">
        <v>21.043066598392599</v>
      </c>
      <c r="O16">
        <v>29.696249999999999</v>
      </c>
      <c r="P16">
        <v>8.6617499999999996</v>
      </c>
      <c r="Q16">
        <v>3</v>
      </c>
      <c r="R16">
        <v>14</v>
      </c>
      <c r="S16">
        <v>0.107142857142857</v>
      </c>
      <c r="T16">
        <v>1.4297156589739899E-2</v>
      </c>
      <c r="U16">
        <v>356</v>
      </c>
      <c r="V16">
        <v>0.42299999999999999</v>
      </c>
      <c r="X16">
        <v>40.766392000000003</v>
      </c>
      <c r="Y16">
        <v>-72.788008000000005</v>
      </c>
      <c r="Z16" t="s">
        <v>144</v>
      </c>
      <c r="AA16" t="s">
        <v>129</v>
      </c>
      <c r="AB16">
        <v>2.9</v>
      </c>
    </row>
    <row r="17" spans="1:47" x14ac:dyDescent="0.25">
      <c r="A17" t="s">
        <v>50</v>
      </c>
      <c r="B17" t="s">
        <v>51</v>
      </c>
      <c r="C17">
        <v>28.6</v>
      </c>
      <c r="D17" t="s">
        <v>54</v>
      </c>
      <c r="E17" t="s">
        <v>55</v>
      </c>
      <c r="F17" t="s">
        <v>41</v>
      </c>
      <c r="G17" s="2">
        <v>40325</v>
      </c>
      <c r="H17" s="2">
        <v>45876</v>
      </c>
      <c r="I17">
        <v>2038.2774916666599</v>
      </c>
      <c r="J17">
        <v>-123433.177433889</v>
      </c>
      <c r="K17">
        <v>1.98083332523485</v>
      </c>
      <c r="L17">
        <v>-119.9544970203</v>
      </c>
      <c r="M17">
        <v>42.909749999999903</v>
      </c>
      <c r="N17">
        <v>23.644903254970199</v>
      </c>
      <c r="O17">
        <v>32.59375</v>
      </c>
      <c r="P17">
        <v>7.5564999999999998</v>
      </c>
      <c r="Q17">
        <v>17</v>
      </c>
      <c r="R17">
        <v>230</v>
      </c>
      <c r="S17">
        <v>0.385507246376812</v>
      </c>
      <c r="T17">
        <v>2.2490330455853001E-2</v>
      </c>
      <c r="U17">
        <v>1029</v>
      </c>
      <c r="V17">
        <v>8.67</v>
      </c>
      <c r="X17">
        <v>40.719644000000002</v>
      </c>
      <c r="Y17">
        <v>-72.938221999999996</v>
      </c>
      <c r="AA17" t="s">
        <v>129</v>
      </c>
      <c r="AB17">
        <v>3.2</v>
      </c>
    </row>
    <row r="18" spans="1:47" x14ac:dyDescent="0.25">
      <c r="A18" t="s">
        <v>50</v>
      </c>
      <c r="B18" t="s">
        <v>51</v>
      </c>
      <c r="C18">
        <v>28.6</v>
      </c>
      <c r="D18" t="s">
        <v>54</v>
      </c>
      <c r="E18" t="s">
        <v>55</v>
      </c>
      <c r="F18" t="s">
        <v>42</v>
      </c>
      <c r="G18" s="2">
        <v>40325</v>
      </c>
      <c r="H18" s="2">
        <v>45876</v>
      </c>
      <c r="I18">
        <v>1012.111</v>
      </c>
      <c r="J18">
        <v>-80877.076074561395</v>
      </c>
      <c r="K18">
        <v>1.5989115323854599</v>
      </c>
      <c r="L18">
        <v>-127.76789269283</v>
      </c>
      <c r="M18">
        <v>38.554000000000002</v>
      </c>
      <c r="N18">
        <v>23.300557381005099</v>
      </c>
      <c r="O18">
        <v>32.104750000000003</v>
      </c>
      <c r="P18">
        <v>7.2677500000000004</v>
      </c>
      <c r="Q18">
        <v>18</v>
      </c>
      <c r="R18">
        <v>115</v>
      </c>
      <c r="S18">
        <v>0.40434782608695702</v>
      </c>
      <c r="T18">
        <v>3.1832695321315198E-2</v>
      </c>
      <c r="U18">
        <v>633</v>
      </c>
      <c r="V18">
        <v>7.37</v>
      </c>
      <c r="X18">
        <v>40.719644000000002</v>
      </c>
      <c r="Y18">
        <v>-72.938221999999996</v>
      </c>
      <c r="AA18" t="s">
        <v>129</v>
      </c>
      <c r="AB18">
        <v>3.2</v>
      </c>
    </row>
    <row r="19" spans="1:47" x14ac:dyDescent="0.25">
      <c r="A19" t="s">
        <v>50</v>
      </c>
      <c r="B19" t="s">
        <v>51</v>
      </c>
      <c r="C19">
        <v>28.6</v>
      </c>
      <c r="D19" t="s">
        <v>54</v>
      </c>
      <c r="E19" t="s">
        <v>55</v>
      </c>
      <c r="F19" t="s">
        <v>43</v>
      </c>
      <c r="G19" s="2">
        <v>40325</v>
      </c>
      <c r="H19" s="2">
        <v>45876</v>
      </c>
      <c r="I19">
        <v>635.29449999999895</v>
      </c>
      <c r="J19">
        <v>-112590.47595476201</v>
      </c>
      <c r="K19">
        <v>0.69204193899781996</v>
      </c>
      <c r="L19">
        <v>-122.647577292769</v>
      </c>
      <c r="M19">
        <v>26.571750000000002</v>
      </c>
      <c r="N19">
        <v>23.464596623061301</v>
      </c>
      <c r="O19">
        <v>31.567250000000001</v>
      </c>
      <c r="P19">
        <v>8.2575000000000003</v>
      </c>
      <c r="Q19">
        <v>11</v>
      </c>
      <c r="R19">
        <v>104</v>
      </c>
      <c r="S19">
        <v>0.36979166666666702</v>
      </c>
      <c r="T19">
        <v>2.78083519685416E-2</v>
      </c>
      <c r="U19">
        <v>918</v>
      </c>
      <c r="V19">
        <v>4.2300000000000004</v>
      </c>
      <c r="X19">
        <v>40.719644000000002</v>
      </c>
      <c r="Y19">
        <v>-72.938221999999996</v>
      </c>
      <c r="AA19" t="s">
        <v>129</v>
      </c>
      <c r="AB19">
        <v>3.2</v>
      </c>
    </row>
    <row r="20" spans="1:47" s="5" customFormat="1" x14ac:dyDescent="0.25">
      <c r="A20" t="s">
        <v>80</v>
      </c>
      <c r="B20" t="s">
        <v>73</v>
      </c>
      <c r="C20">
        <v>25</v>
      </c>
      <c r="D20" t="s">
        <v>81</v>
      </c>
      <c r="E20" s="1" t="s">
        <v>82</v>
      </c>
      <c r="F20" s="1"/>
      <c r="G20" s="9">
        <v>45539</v>
      </c>
      <c r="H20" s="9">
        <v>45918</v>
      </c>
      <c r="I20">
        <v>53.576000000000001</v>
      </c>
      <c r="J20">
        <v>-18721.136999999999</v>
      </c>
      <c r="K20">
        <v>0.31890476190476202</v>
      </c>
      <c r="L20">
        <v>-111.43533928571399</v>
      </c>
      <c r="M20">
        <v>6.1589999999999998</v>
      </c>
      <c r="N20">
        <v>20.338066641865101</v>
      </c>
      <c r="O20">
        <v>26.664999999999999</v>
      </c>
      <c r="P20">
        <v>10.8995</v>
      </c>
      <c r="Q20">
        <v>12</v>
      </c>
      <c r="R20">
        <v>33</v>
      </c>
      <c r="S20">
        <v>0.17297979797979801</v>
      </c>
      <c r="T20">
        <v>1.7214139147015101E-2</v>
      </c>
      <c r="U20">
        <v>168</v>
      </c>
      <c r="V20">
        <v>3.4207240948813999</v>
      </c>
      <c r="W20"/>
      <c r="X20" s="11">
        <v>41.329855000000002</v>
      </c>
      <c r="Y20" s="12">
        <v>-71.988226999999995</v>
      </c>
      <c r="Z20"/>
      <c r="AA20" s="1" t="s">
        <v>130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s="5" customFormat="1" x14ac:dyDescent="0.25">
      <c r="A21" t="s">
        <v>37</v>
      </c>
      <c r="B21" t="s">
        <v>73</v>
      </c>
      <c r="C21">
        <v>25</v>
      </c>
      <c r="D21" t="s">
        <v>145</v>
      </c>
      <c r="E21" s="1" t="s">
        <v>146</v>
      </c>
      <c r="F21" s="1"/>
      <c r="G21" s="9">
        <v>45517</v>
      </c>
      <c r="H21" s="9">
        <v>45880</v>
      </c>
      <c r="I21">
        <v>58.3735</v>
      </c>
      <c r="J21">
        <v>-18330.426500000001</v>
      </c>
      <c r="K21">
        <v>0.38403618421052599</v>
      </c>
      <c r="L21">
        <v>-120.594911184211</v>
      </c>
      <c r="M21">
        <v>10.0745</v>
      </c>
      <c r="N21">
        <v>19.967396117698101</v>
      </c>
      <c r="O21">
        <v>27.1585</v>
      </c>
      <c r="P21">
        <v>11.2965</v>
      </c>
      <c r="Q21">
        <v>6</v>
      </c>
      <c r="R21">
        <v>20</v>
      </c>
      <c r="S21">
        <v>0.19166666666666701</v>
      </c>
      <c r="T21">
        <v>3.5173961993770098E-2</v>
      </c>
      <c r="U21">
        <v>152</v>
      </c>
      <c r="V21">
        <v>2.5414364640884002</v>
      </c>
      <c r="W21"/>
      <c r="X21" s="12">
        <v>41.29</v>
      </c>
      <c r="Y21" s="11">
        <v>-70.200277779999993</v>
      </c>
      <c r="Z21"/>
      <c r="AA21" s="1" t="s">
        <v>130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5">
      <c r="A22" t="s">
        <v>37</v>
      </c>
      <c r="B22" t="s">
        <v>73</v>
      </c>
      <c r="C22">
        <v>28.6</v>
      </c>
      <c r="D22" t="s">
        <v>111</v>
      </c>
      <c r="E22" s="1" t="s">
        <v>112</v>
      </c>
      <c r="G22" s="9">
        <v>45503</v>
      </c>
      <c r="H22" s="9">
        <v>45919</v>
      </c>
      <c r="I22" s="15">
        <v>0.39774999999999999</v>
      </c>
      <c r="J22" s="15">
        <v>-31362.416700000002</v>
      </c>
      <c r="K22" s="15">
        <v>2.0716100000000002E-3</v>
      </c>
      <c r="L22" s="15">
        <v>-163.34592000000001</v>
      </c>
      <c r="M22" s="15">
        <v>0.15875</v>
      </c>
      <c r="N22" s="15">
        <v>21.700603999999998</v>
      </c>
      <c r="O22" s="15">
        <v>28.728999999999999</v>
      </c>
      <c r="P22" s="15">
        <v>11.843249999999999</v>
      </c>
      <c r="Q22" s="15">
        <v>4</v>
      </c>
      <c r="R22" s="15">
        <v>4</v>
      </c>
      <c r="S22" s="15">
        <v>5.2083329999999997E-2</v>
      </c>
      <c r="T22" s="15">
        <v>1.0416669999999999E-2</v>
      </c>
      <c r="U22" s="15">
        <v>192</v>
      </c>
      <c r="V22" s="15">
        <v>0.10972131</v>
      </c>
      <c r="X22" s="12">
        <v>41.3391667</v>
      </c>
      <c r="Y22" s="12">
        <v>-70.232222219999997</v>
      </c>
      <c r="Z22" s="20" t="s">
        <v>147</v>
      </c>
      <c r="AA22" s="1" t="s">
        <v>130</v>
      </c>
    </row>
    <row r="23" spans="1:47" x14ac:dyDescent="0.25">
      <c r="A23" s="17" t="s">
        <v>37</v>
      </c>
      <c r="B23" s="17" t="s">
        <v>73</v>
      </c>
      <c r="C23" s="17">
        <v>25</v>
      </c>
      <c r="D23" s="17" t="s">
        <v>111</v>
      </c>
      <c r="E23" s="18" t="s">
        <v>112</v>
      </c>
      <c r="F23" s="17"/>
      <c r="G23" s="22">
        <v>45503</v>
      </c>
      <c r="H23" s="22">
        <v>45919</v>
      </c>
      <c r="I23" s="23">
        <v>497.62175000000002</v>
      </c>
      <c r="J23" s="23">
        <v>-15468.840700000001</v>
      </c>
      <c r="K23" s="23">
        <v>2.5917799499999998</v>
      </c>
      <c r="L23" s="23">
        <v>-80.566878500000001</v>
      </c>
      <c r="M23" s="23">
        <v>37.3705</v>
      </c>
      <c r="N23" s="23">
        <v>21.700603999999998</v>
      </c>
      <c r="O23" s="23">
        <v>28.728999999999999</v>
      </c>
      <c r="P23" s="23">
        <v>11.843249999999999</v>
      </c>
      <c r="Q23" s="23">
        <v>30</v>
      </c>
      <c r="R23" s="23">
        <v>73</v>
      </c>
      <c r="S23" s="23">
        <v>0.31678082000000002</v>
      </c>
      <c r="T23" s="23">
        <v>6.3103480000000003E-2</v>
      </c>
      <c r="U23" s="23">
        <v>192</v>
      </c>
      <c r="V23" s="23">
        <v>12.1790652</v>
      </c>
      <c r="W23" s="17"/>
      <c r="X23" s="19">
        <v>41.3391667</v>
      </c>
      <c r="Y23" s="19">
        <v>-70.232222219999997</v>
      </c>
      <c r="Z23" s="21" t="s">
        <v>147</v>
      </c>
      <c r="AA23" s="18" t="s">
        <v>130</v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</row>
    <row r="24" spans="1:47" x14ac:dyDescent="0.25">
      <c r="A24" t="s">
        <v>37</v>
      </c>
      <c r="B24" t="s">
        <v>73</v>
      </c>
      <c r="C24">
        <v>25</v>
      </c>
      <c r="D24" t="s">
        <v>113</v>
      </c>
      <c r="E24" s="1" t="s">
        <v>114</v>
      </c>
      <c r="G24" s="9">
        <v>45778</v>
      </c>
      <c r="H24" s="9">
        <v>45930</v>
      </c>
      <c r="I24">
        <v>0</v>
      </c>
      <c r="J24">
        <v>-18952.6175</v>
      </c>
      <c r="K24">
        <v>0</v>
      </c>
      <c r="L24">
        <v>-123.873316993464</v>
      </c>
      <c r="M24">
        <v>0</v>
      </c>
      <c r="N24">
        <v>19.824749564270199</v>
      </c>
      <c r="O24">
        <v>24.870999999999999</v>
      </c>
      <c r="P24">
        <v>11.589</v>
      </c>
      <c r="Q24">
        <v>0</v>
      </c>
      <c r="R24">
        <v>0</v>
      </c>
      <c r="S24">
        <v>0</v>
      </c>
      <c r="T24">
        <v>0</v>
      </c>
      <c r="U24">
        <v>153</v>
      </c>
      <c r="V24">
        <v>0</v>
      </c>
      <c r="X24" s="12">
        <v>41.58399</v>
      </c>
      <c r="Y24" s="11">
        <v>-70.820909999999998</v>
      </c>
      <c r="AA24" s="1" t="s">
        <v>130</v>
      </c>
    </row>
    <row r="25" spans="1:47" x14ac:dyDescent="0.25">
      <c r="A25" t="s">
        <v>37</v>
      </c>
      <c r="B25" t="s">
        <v>148</v>
      </c>
      <c r="C25">
        <v>25</v>
      </c>
      <c r="D25" t="s">
        <v>149</v>
      </c>
      <c r="E25" s="1" t="s">
        <v>150</v>
      </c>
      <c r="G25" s="9">
        <v>45524</v>
      </c>
      <c r="H25" s="9">
        <v>45909</v>
      </c>
      <c r="I25">
        <v>0</v>
      </c>
      <c r="J25">
        <v>-38119.093999999997</v>
      </c>
      <c r="K25">
        <v>0</v>
      </c>
      <c r="L25">
        <v>-219.07525287356299</v>
      </c>
      <c r="M25">
        <v>0</v>
      </c>
      <c r="N25">
        <v>15.8139853790367</v>
      </c>
      <c r="O25">
        <v>21.919499999999999</v>
      </c>
      <c r="P25">
        <v>8.0465</v>
      </c>
      <c r="Q25">
        <v>0</v>
      </c>
      <c r="R25">
        <v>0</v>
      </c>
      <c r="S25">
        <v>0</v>
      </c>
      <c r="T25">
        <v>0</v>
      </c>
      <c r="U25">
        <v>174</v>
      </c>
      <c r="V25">
        <v>0</v>
      </c>
      <c r="X25" s="12">
        <v>42.379206000000003</v>
      </c>
      <c r="Y25" s="11">
        <v>-70.969185999999993</v>
      </c>
      <c r="AA25" s="1" t="s">
        <v>130</v>
      </c>
    </row>
    <row r="26" spans="1:47" x14ac:dyDescent="0.25">
      <c r="A26" t="s">
        <v>90</v>
      </c>
      <c r="B26" t="s">
        <v>73</v>
      </c>
      <c r="C26">
        <v>25</v>
      </c>
      <c r="D26" t="s">
        <v>151</v>
      </c>
      <c r="E26" s="1" t="s">
        <v>152</v>
      </c>
      <c r="G26" s="9">
        <v>45778</v>
      </c>
      <c r="H26" s="9">
        <v>45889</v>
      </c>
      <c r="I26">
        <v>0</v>
      </c>
      <c r="J26">
        <v>-30597.823611024502</v>
      </c>
      <c r="K26">
        <v>0</v>
      </c>
      <c r="L26">
        <v>-273.19485366986203</v>
      </c>
      <c r="M26">
        <v>0</v>
      </c>
      <c r="N26">
        <v>13.576828803813701</v>
      </c>
      <c r="O26">
        <v>20.006944444999998</v>
      </c>
      <c r="P26">
        <v>5.9238888889999997</v>
      </c>
      <c r="Q26">
        <v>0</v>
      </c>
      <c r="R26">
        <v>0</v>
      </c>
      <c r="S26">
        <v>0</v>
      </c>
      <c r="T26">
        <v>0</v>
      </c>
      <c r="U26">
        <v>112</v>
      </c>
      <c r="V26">
        <v>0</v>
      </c>
      <c r="X26" s="12">
        <v>43.562739999999998</v>
      </c>
      <c r="Y26" s="12">
        <v>-70.221149999999994</v>
      </c>
      <c r="AA26" s="1" t="s">
        <v>130</v>
      </c>
    </row>
    <row r="27" spans="1:47" x14ac:dyDescent="0.25">
      <c r="A27" t="s">
        <v>90</v>
      </c>
      <c r="B27" t="s">
        <v>73</v>
      </c>
      <c r="C27">
        <v>25</v>
      </c>
      <c r="D27" t="s">
        <v>91</v>
      </c>
      <c r="E27" s="1" t="s">
        <v>92</v>
      </c>
      <c r="G27" s="9">
        <v>45533</v>
      </c>
      <c r="H27" s="9">
        <v>45903</v>
      </c>
      <c r="I27">
        <v>0</v>
      </c>
      <c r="J27">
        <v>-36389.212</v>
      </c>
      <c r="K27">
        <v>0</v>
      </c>
      <c r="L27">
        <v>-228.86296855345901</v>
      </c>
      <c r="M27">
        <v>0</v>
      </c>
      <c r="N27">
        <v>15.404671409853201</v>
      </c>
      <c r="O27">
        <v>22.3215</v>
      </c>
      <c r="P27">
        <v>7.9980000000000002</v>
      </c>
      <c r="Q27">
        <v>0</v>
      </c>
      <c r="R27">
        <v>0</v>
      </c>
      <c r="S27">
        <v>0</v>
      </c>
      <c r="T27">
        <v>0</v>
      </c>
      <c r="U27">
        <v>159</v>
      </c>
      <c r="V27">
        <v>0</v>
      </c>
      <c r="X27" s="12">
        <v>43.753680000000003</v>
      </c>
      <c r="Y27" s="12">
        <v>-70.136380000000003</v>
      </c>
      <c r="AA27" s="1" t="s">
        <v>130</v>
      </c>
    </row>
    <row r="28" spans="1:47" x14ac:dyDescent="0.25">
      <c r="A28" t="s">
        <v>90</v>
      </c>
      <c r="B28" t="s">
        <v>73</v>
      </c>
      <c r="C28">
        <v>25</v>
      </c>
      <c r="D28" t="s">
        <v>93</v>
      </c>
      <c r="E28" s="1" t="s">
        <v>94</v>
      </c>
      <c r="G28" s="9">
        <v>45778</v>
      </c>
      <c r="H28" s="9">
        <v>45911</v>
      </c>
      <c r="I28">
        <v>0</v>
      </c>
      <c r="J28">
        <v>-32894.1819444555</v>
      </c>
      <c r="K28">
        <v>0</v>
      </c>
      <c r="L28">
        <v>-245.478969734743</v>
      </c>
      <c r="M28">
        <v>0</v>
      </c>
      <c r="N28">
        <v>14.7194136754766</v>
      </c>
      <c r="O28">
        <v>20.424166665000001</v>
      </c>
      <c r="P28">
        <v>6.7877777779999997</v>
      </c>
      <c r="Q28">
        <v>0</v>
      </c>
      <c r="R28">
        <v>0</v>
      </c>
      <c r="S28">
        <v>0</v>
      </c>
      <c r="T28">
        <v>0</v>
      </c>
      <c r="U28">
        <v>134</v>
      </c>
      <c r="V28">
        <v>0</v>
      </c>
      <c r="X28" s="12">
        <v>43.967865000000003</v>
      </c>
      <c r="Y28" s="12">
        <v>-69.362097000000006</v>
      </c>
      <c r="AA28" s="1" t="s">
        <v>130</v>
      </c>
    </row>
    <row r="29" spans="1:47" x14ac:dyDescent="0.25">
      <c r="A29" t="s">
        <v>90</v>
      </c>
      <c r="B29" t="s">
        <v>73</v>
      </c>
      <c r="C29">
        <v>25</v>
      </c>
      <c r="D29" t="s">
        <v>95</v>
      </c>
      <c r="E29" s="1" t="s">
        <v>96</v>
      </c>
      <c r="G29" s="9">
        <v>45533</v>
      </c>
      <c r="H29" s="9">
        <v>45903</v>
      </c>
      <c r="I29">
        <v>0</v>
      </c>
      <c r="J29">
        <v>-38088.2955</v>
      </c>
      <c r="K29">
        <v>0</v>
      </c>
      <c r="L29">
        <v>-239.54902830188701</v>
      </c>
      <c r="M29">
        <v>0</v>
      </c>
      <c r="N29">
        <v>14.950800053952401</v>
      </c>
      <c r="O29">
        <v>20.213999999999999</v>
      </c>
      <c r="P29">
        <v>7.6924999999999999</v>
      </c>
      <c r="Q29">
        <v>0</v>
      </c>
      <c r="R29">
        <v>0</v>
      </c>
      <c r="S29">
        <v>0</v>
      </c>
      <c r="T29">
        <v>0</v>
      </c>
      <c r="U29">
        <v>159</v>
      </c>
      <c r="V29">
        <v>0</v>
      </c>
      <c r="X29" s="12">
        <v>43.692340000000002</v>
      </c>
      <c r="Y29" s="12">
        <v>-70.227999999999994</v>
      </c>
      <c r="AA29" s="1" t="s">
        <v>130</v>
      </c>
    </row>
    <row r="30" spans="1:47" x14ac:dyDescent="0.25">
      <c r="A30" t="s">
        <v>90</v>
      </c>
      <c r="B30" t="s">
        <v>97</v>
      </c>
      <c r="C30">
        <v>25</v>
      </c>
      <c r="D30" t="s">
        <v>98</v>
      </c>
      <c r="E30" s="1" t="s">
        <v>99</v>
      </c>
      <c r="G30" s="9">
        <v>45778</v>
      </c>
      <c r="H30" s="9">
        <v>45930</v>
      </c>
      <c r="I30">
        <v>0</v>
      </c>
      <c r="J30">
        <v>-43486.567222375503</v>
      </c>
      <c r="K30">
        <v>0</v>
      </c>
      <c r="L30">
        <v>-284.22592955801002</v>
      </c>
      <c r="M30">
        <v>0</v>
      </c>
      <c r="N30">
        <v>13.136211646654001</v>
      </c>
      <c r="O30">
        <v>20.197500000000002</v>
      </c>
      <c r="P30">
        <v>5.1019444445</v>
      </c>
      <c r="Q30">
        <v>0</v>
      </c>
      <c r="R30">
        <v>0</v>
      </c>
      <c r="S30">
        <v>0</v>
      </c>
      <c r="T30">
        <v>0</v>
      </c>
      <c r="U30">
        <v>153</v>
      </c>
      <c r="V30">
        <v>0</v>
      </c>
      <c r="X30" s="12">
        <v>44.389530000000001</v>
      </c>
      <c r="Y30" s="12">
        <v>-68.092759999999998</v>
      </c>
      <c r="AA30" s="1" t="s">
        <v>130</v>
      </c>
    </row>
    <row r="31" spans="1:47" x14ac:dyDescent="0.25">
      <c r="A31" t="s">
        <v>50</v>
      </c>
      <c r="B31" t="s">
        <v>73</v>
      </c>
      <c r="C31">
        <v>25</v>
      </c>
      <c r="D31" t="s">
        <v>107</v>
      </c>
      <c r="E31" s="1" t="s">
        <v>108</v>
      </c>
      <c r="G31" s="9">
        <v>45546</v>
      </c>
      <c r="H31" s="9">
        <v>45918</v>
      </c>
      <c r="I31">
        <v>0</v>
      </c>
      <c r="J31">
        <v>-26417.898000000001</v>
      </c>
      <c r="K31">
        <v>0</v>
      </c>
      <c r="L31">
        <v>-164.08632298136601</v>
      </c>
      <c r="M31">
        <v>0</v>
      </c>
      <c r="N31">
        <v>18.1160851061077</v>
      </c>
      <c r="O31">
        <v>23.935500000000001</v>
      </c>
      <c r="P31">
        <v>8.9794999999999998</v>
      </c>
      <c r="Q31">
        <v>0</v>
      </c>
      <c r="R31">
        <v>0</v>
      </c>
      <c r="S31">
        <v>0</v>
      </c>
      <c r="T31">
        <v>0</v>
      </c>
      <c r="U31">
        <v>161</v>
      </c>
      <c r="V31">
        <v>0</v>
      </c>
      <c r="X31" s="12">
        <v>41.278083330000001</v>
      </c>
      <c r="Y31" s="11">
        <v>-71.948611110000002</v>
      </c>
      <c r="AA31" s="1" t="s">
        <v>130</v>
      </c>
    </row>
    <row r="32" spans="1:47" x14ac:dyDescent="0.25">
      <c r="A32" t="s">
        <v>85</v>
      </c>
      <c r="B32" t="s">
        <v>73</v>
      </c>
      <c r="C32">
        <v>25</v>
      </c>
      <c r="D32" t="s">
        <v>88</v>
      </c>
      <c r="E32" s="1" t="s">
        <v>89</v>
      </c>
      <c r="G32" s="9">
        <v>45553</v>
      </c>
      <c r="H32" s="9">
        <v>45930</v>
      </c>
      <c r="I32">
        <v>0</v>
      </c>
      <c r="J32">
        <v>-29312.224999999999</v>
      </c>
      <c r="K32">
        <v>0</v>
      </c>
      <c r="L32">
        <v>-176.57966867469901</v>
      </c>
      <c r="M32">
        <v>0</v>
      </c>
      <c r="N32">
        <v>17.603576782128499</v>
      </c>
      <c r="O32">
        <v>21.7425</v>
      </c>
      <c r="P32">
        <v>7.4509999999999996</v>
      </c>
      <c r="Q32">
        <v>0</v>
      </c>
      <c r="R32">
        <v>0</v>
      </c>
      <c r="S32">
        <v>0</v>
      </c>
      <c r="T32">
        <v>0</v>
      </c>
      <c r="U32">
        <v>166</v>
      </c>
      <c r="V32">
        <v>0</v>
      </c>
      <c r="X32" s="12">
        <v>41.478687000000001</v>
      </c>
      <c r="Y32" s="11">
        <v>-71.359367000000006</v>
      </c>
      <c r="AA32" s="1" t="s">
        <v>130</v>
      </c>
    </row>
    <row r="33" spans="1:47" s="5" customFormat="1" x14ac:dyDescent="0.25">
      <c r="A33" t="s">
        <v>85</v>
      </c>
      <c r="B33" t="s">
        <v>73</v>
      </c>
      <c r="C33">
        <v>25</v>
      </c>
      <c r="D33" t="s">
        <v>86</v>
      </c>
      <c r="E33" s="1" t="s">
        <v>87</v>
      </c>
      <c r="F33" s="1"/>
      <c r="G33" s="9">
        <v>45778</v>
      </c>
      <c r="H33" s="9">
        <v>45904</v>
      </c>
      <c r="I33">
        <v>212.68350000000001</v>
      </c>
      <c r="J33">
        <v>-15860.455</v>
      </c>
      <c r="K33">
        <v>1.67467322834646</v>
      </c>
      <c r="L33">
        <v>-124.88547244094499</v>
      </c>
      <c r="M33">
        <v>14.7875</v>
      </c>
      <c r="N33">
        <v>19.841456342957098</v>
      </c>
      <c r="O33">
        <v>28.51</v>
      </c>
      <c r="P33">
        <v>9.0655000000000001</v>
      </c>
      <c r="Q33">
        <v>11</v>
      </c>
      <c r="R33">
        <v>46</v>
      </c>
      <c r="S33">
        <v>0.184782608695652</v>
      </c>
      <c r="T33">
        <v>1.5250424234540901E-2</v>
      </c>
      <c r="U33">
        <v>127</v>
      </c>
      <c r="V33">
        <v>6.7149440421329798</v>
      </c>
      <c r="W33"/>
      <c r="X33" s="12">
        <v>41.367711</v>
      </c>
      <c r="Y33" s="11">
        <v>-71.634050000000002</v>
      </c>
      <c r="Z33"/>
      <c r="AA33" s="1" t="s">
        <v>130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x14ac:dyDescent="0.25">
      <c r="A34" t="s">
        <v>72</v>
      </c>
      <c r="B34" t="s">
        <v>73</v>
      </c>
      <c r="C34">
        <v>28.6</v>
      </c>
      <c r="D34" t="s">
        <v>74</v>
      </c>
      <c r="E34" s="1" t="s">
        <v>75</v>
      </c>
      <c r="G34" s="9">
        <v>45105</v>
      </c>
      <c r="H34" s="9">
        <v>45833</v>
      </c>
      <c r="I34" s="1">
        <v>2612.0305600000002</v>
      </c>
      <c r="J34" s="1">
        <v>-17819.4231</v>
      </c>
      <c r="K34" s="1">
        <v>8.5922057699999996</v>
      </c>
      <c r="L34" s="1">
        <v>-58.616523200000003</v>
      </c>
      <c r="M34" s="1">
        <v>94.932500000000005</v>
      </c>
      <c r="N34" s="1">
        <v>26.5093955</v>
      </c>
      <c r="O34" s="1">
        <v>34.638055600000001</v>
      </c>
      <c r="P34" s="1">
        <v>18.188055599999998</v>
      </c>
      <c r="Q34" s="1">
        <v>51</v>
      </c>
      <c r="R34" s="1">
        <v>114</v>
      </c>
      <c r="S34" s="1">
        <v>0.79276316000000002</v>
      </c>
      <c r="T34" s="1">
        <v>0.10642219</v>
      </c>
      <c r="U34" s="1">
        <v>304</v>
      </c>
      <c r="V34" s="1">
        <v>29.830834800000002</v>
      </c>
      <c r="X34" s="12">
        <v>37.340885999999998</v>
      </c>
      <c r="Y34" s="12">
        <v>-76.409088999999994</v>
      </c>
      <c r="AA34" s="1" t="s">
        <v>130</v>
      </c>
    </row>
    <row r="35" spans="1:47" x14ac:dyDescent="0.25">
      <c r="A35" t="s">
        <v>72</v>
      </c>
      <c r="B35" t="s">
        <v>73</v>
      </c>
      <c r="C35">
        <v>28.6</v>
      </c>
      <c r="D35" t="s">
        <v>153</v>
      </c>
      <c r="E35" s="1" t="s">
        <v>154</v>
      </c>
      <c r="G35" s="9">
        <v>45106</v>
      </c>
      <c r="H35" s="9">
        <v>45841</v>
      </c>
      <c r="I35" s="1">
        <v>882.04194399999994</v>
      </c>
      <c r="J35" s="1">
        <v>-17033.636399999999</v>
      </c>
      <c r="K35" s="1">
        <v>3.5566207400000001</v>
      </c>
      <c r="L35" s="1">
        <v>-68.684017699999998</v>
      </c>
      <c r="M35" s="1">
        <v>41.687777799999999</v>
      </c>
      <c r="N35" s="1">
        <v>25.872399399999999</v>
      </c>
      <c r="O35" s="1">
        <v>31.88</v>
      </c>
      <c r="P35" s="1">
        <v>16.665277799999998</v>
      </c>
      <c r="Q35" s="1">
        <v>24</v>
      </c>
      <c r="R35" s="1">
        <v>112</v>
      </c>
      <c r="S35" s="1">
        <v>0.36569940000000001</v>
      </c>
      <c r="T35" s="1">
        <v>3.6704880000000002E-2</v>
      </c>
      <c r="U35" s="1">
        <v>248</v>
      </c>
      <c r="V35" s="1">
        <v>16.635640500000001</v>
      </c>
      <c r="X35" s="12">
        <v>37.403052000000002</v>
      </c>
      <c r="Y35" s="12">
        <v>-75.984093999999999</v>
      </c>
      <c r="AA35" s="1" t="s">
        <v>130</v>
      </c>
    </row>
    <row r="36" spans="1:47" x14ac:dyDescent="0.25">
      <c r="A36" t="s">
        <v>64</v>
      </c>
      <c r="B36" t="s">
        <v>65</v>
      </c>
      <c r="C36">
        <v>28.6</v>
      </c>
      <c r="D36" t="s">
        <v>66</v>
      </c>
      <c r="E36" t="s">
        <v>67</v>
      </c>
      <c r="G36" s="9">
        <v>45419</v>
      </c>
      <c r="H36" s="9">
        <v>45565</v>
      </c>
      <c r="I36" s="1">
        <v>712.98</v>
      </c>
      <c r="J36" s="1">
        <v>-8409.1796699999995</v>
      </c>
      <c r="K36" s="1">
        <v>4.8502040800000001</v>
      </c>
      <c r="L36" s="1">
        <v>-57.205303899999997</v>
      </c>
      <c r="M36" s="1">
        <v>44.761000000000003</v>
      </c>
      <c r="N36" s="1">
        <v>26.4032327</v>
      </c>
      <c r="O36" s="1">
        <v>31.992999999999999</v>
      </c>
      <c r="P36" s="1">
        <v>18.41225</v>
      </c>
      <c r="Q36" s="1">
        <v>24</v>
      </c>
      <c r="R36" s="1">
        <v>45</v>
      </c>
      <c r="S36" s="1">
        <v>0.69629629999999998</v>
      </c>
      <c r="T36" s="1">
        <v>0.10366988000000001</v>
      </c>
      <c r="U36" s="1">
        <v>147</v>
      </c>
      <c r="V36" s="1">
        <v>21.4001138</v>
      </c>
      <c r="X36" s="12">
        <v>35.369509999999998</v>
      </c>
      <c r="Y36" s="12">
        <v>-75.515889999999999</v>
      </c>
      <c r="AA36" s="1" t="s">
        <v>130</v>
      </c>
    </row>
    <row r="37" spans="1:47" x14ac:dyDescent="0.25">
      <c r="A37" t="s">
        <v>64</v>
      </c>
      <c r="B37" t="s">
        <v>104</v>
      </c>
      <c r="C37">
        <v>28.6</v>
      </c>
      <c r="D37" t="s">
        <v>115</v>
      </c>
      <c r="E37" t="s">
        <v>116</v>
      </c>
      <c r="G37" s="9">
        <v>45492</v>
      </c>
      <c r="H37" s="9">
        <v>45565</v>
      </c>
      <c r="I37" s="1">
        <v>309.83999999999997</v>
      </c>
      <c r="J37" s="1">
        <v>-3696.2474999999999</v>
      </c>
      <c r="K37" s="1">
        <v>4.1870270300000003</v>
      </c>
      <c r="L37" s="1">
        <v>-49.949290499999996</v>
      </c>
      <c r="M37" s="1">
        <v>32.365000000000002</v>
      </c>
      <c r="N37" s="1">
        <v>26.696347599999999</v>
      </c>
      <c r="O37" s="1">
        <v>31.454999999999998</v>
      </c>
      <c r="P37" s="1">
        <v>21.2425</v>
      </c>
      <c r="Q37" s="1">
        <v>11</v>
      </c>
      <c r="R37" s="1">
        <v>34</v>
      </c>
      <c r="S37" s="1">
        <v>0.43627451</v>
      </c>
      <c r="T37" s="1">
        <v>6.3115539999999998E-2</v>
      </c>
      <c r="U37" s="1">
        <v>74</v>
      </c>
      <c r="V37" s="1">
        <v>20.169971700000001</v>
      </c>
      <c r="X37" s="13">
        <v>34.903799999999997</v>
      </c>
      <c r="Y37" s="12">
        <v>-76.264880000000005</v>
      </c>
      <c r="AA37" s="1" t="s">
        <v>130</v>
      </c>
    </row>
    <row r="38" spans="1:47" x14ac:dyDescent="0.25">
      <c r="A38" t="s">
        <v>64</v>
      </c>
      <c r="B38" t="s">
        <v>65</v>
      </c>
      <c r="C38">
        <v>28.6</v>
      </c>
      <c r="D38" t="s">
        <v>68</v>
      </c>
      <c r="E38" t="s">
        <v>69</v>
      </c>
      <c r="G38" s="9">
        <v>45418</v>
      </c>
      <c r="H38" s="9">
        <v>45782</v>
      </c>
      <c r="I38" s="1">
        <v>841.4</v>
      </c>
      <c r="J38" s="1">
        <v>-9285.7610800000002</v>
      </c>
      <c r="K38" s="1">
        <v>5.4993464100000002</v>
      </c>
      <c r="L38" s="1">
        <v>-60.691248899999998</v>
      </c>
      <c r="M38" s="1">
        <v>50.240250000000003</v>
      </c>
      <c r="N38" s="1">
        <v>26.265903399999999</v>
      </c>
      <c r="O38" s="1">
        <v>32.872250000000001</v>
      </c>
      <c r="P38" s="1">
        <v>18.133500000000002</v>
      </c>
      <c r="Q38" s="1">
        <v>24</v>
      </c>
      <c r="R38" s="1">
        <v>70</v>
      </c>
      <c r="S38" s="1">
        <v>0.4547619</v>
      </c>
      <c r="T38" s="1">
        <v>5.4998999999999999E-2</v>
      </c>
      <c r="U38" s="1">
        <v>153</v>
      </c>
      <c r="V38" s="1">
        <v>20.9372431</v>
      </c>
      <c r="X38" s="12">
        <v>35.450119999999998</v>
      </c>
      <c r="Y38" s="12">
        <v>-75.510369999999995</v>
      </c>
      <c r="AA38" s="1" t="s">
        <v>130</v>
      </c>
    </row>
    <row r="39" spans="1:47" x14ac:dyDescent="0.25">
      <c r="A39" t="s">
        <v>80</v>
      </c>
      <c r="B39" t="s">
        <v>73</v>
      </c>
      <c r="C39">
        <v>25</v>
      </c>
      <c r="D39" t="s">
        <v>83</v>
      </c>
      <c r="E39" s="1" t="s">
        <v>84</v>
      </c>
      <c r="G39" s="9">
        <v>45546</v>
      </c>
      <c r="H39" s="9">
        <v>45918</v>
      </c>
      <c r="I39">
        <v>0</v>
      </c>
      <c r="J39">
        <v>-26036.641</v>
      </c>
      <c r="K39">
        <v>0</v>
      </c>
      <c r="L39">
        <v>-161.71826708074499</v>
      </c>
      <c r="M39">
        <v>0</v>
      </c>
      <c r="N39">
        <v>18.219420445134599</v>
      </c>
      <c r="O39">
        <v>22.97</v>
      </c>
      <c r="P39">
        <v>9.3870000000000005</v>
      </c>
      <c r="Q39">
        <v>0</v>
      </c>
      <c r="R39">
        <v>0</v>
      </c>
      <c r="S39">
        <v>0</v>
      </c>
      <c r="T39">
        <v>0</v>
      </c>
      <c r="U39">
        <v>161</v>
      </c>
      <c r="V39">
        <v>0</v>
      </c>
      <c r="X39" s="14">
        <v>41.332732</v>
      </c>
      <c r="Y39" s="14">
        <v>-71.902703000000002</v>
      </c>
      <c r="AA39" s="1" t="s">
        <v>130</v>
      </c>
    </row>
    <row r="40" spans="1:47" s="5" customFormat="1" x14ac:dyDescent="0.25">
      <c r="A40" t="s">
        <v>90</v>
      </c>
      <c r="B40" t="s">
        <v>73</v>
      </c>
      <c r="C40">
        <v>25</v>
      </c>
      <c r="D40" t="s">
        <v>102</v>
      </c>
      <c r="E40" s="1" t="s">
        <v>103</v>
      </c>
      <c r="F40"/>
      <c r="G40" s="9">
        <v>45778</v>
      </c>
      <c r="H40" s="9">
        <v>45930</v>
      </c>
      <c r="I40">
        <v>2.96666667</v>
      </c>
      <c r="J40">
        <v>-43450.452222231499</v>
      </c>
      <c r="K40">
        <v>1.9389978235294099E-2</v>
      </c>
      <c r="L40">
        <v>-283.989883805435</v>
      </c>
      <c r="M40">
        <v>2.3111111100000001</v>
      </c>
      <c r="N40">
        <v>13.1483554072848</v>
      </c>
      <c r="O40">
        <v>27.311111109999999</v>
      </c>
      <c r="P40">
        <v>5.011388889</v>
      </c>
      <c r="Q40">
        <v>1</v>
      </c>
      <c r="R40">
        <v>4</v>
      </c>
      <c r="S40">
        <v>4.1666666666666699E-2</v>
      </c>
      <c r="T40">
        <v>0</v>
      </c>
      <c r="U40">
        <v>153</v>
      </c>
      <c r="V40">
        <v>0.108932461873638</v>
      </c>
      <c r="W40"/>
      <c r="X40" s="12">
        <v>44.698920000000001</v>
      </c>
      <c r="Y40" s="12">
        <v>-67.334109999999995</v>
      </c>
      <c r="Z40"/>
      <c r="AA40" s="1" t="s">
        <v>130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x14ac:dyDescent="0.25">
      <c r="A41" t="s">
        <v>155</v>
      </c>
      <c r="B41" t="s">
        <v>73</v>
      </c>
      <c r="C41">
        <v>25</v>
      </c>
      <c r="D41" t="s">
        <v>156</v>
      </c>
      <c r="E41" s="1" t="s">
        <v>157</v>
      </c>
      <c r="G41" s="9">
        <v>45778</v>
      </c>
      <c r="H41" s="9">
        <v>45870</v>
      </c>
      <c r="I41" s="15">
        <v>0</v>
      </c>
      <c r="J41" s="15">
        <v>-28286.753499999999</v>
      </c>
      <c r="K41" s="15">
        <v>0</v>
      </c>
      <c r="L41" s="15">
        <v>-304.15863999999999</v>
      </c>
      <c r="M41" s="15">
        <v>0</v>
      </c>
      <c r="N41" s="15">
        <v>12.2194568</v>
      </c>
      <c r="O41" s="15">
        <v>20.280999999999999</v>
      </c>
      <c r="P41" s="15">
        <v>5.86</v>
      </c>
      <c r="Q41" s="15">
        <v>0</v>
      </c>
      <c r="R41" s="15">
        <v>0</v>
      </c>
      <c r="S41" s="15">
        <v>0</v>
      </c>
      <c r="T41" s="15">
        <v>0</v>
      </c>
      <c r="U41" s="15">
        <v>93</v>
      </c>
      <c r="V41" s="15">
        <v>0</v>
      </c>
      <c r="X41" s="11">
        <v>43.057029999999997</v>
      </c>
      <c r="Y41" s="12">
        <v>-70.714429999999993</v>
      </c>
      <c r="Z41" t="s">
        <v>158</v>
      </c>
      <c r="AA41" s="1" t="s">
        <v>130</v>
      </c>
    </row>
    <row r="42" spans="1:47" x14ac:dyDescent="0.25">
      <c r="A42" t="s">
        <v>37</v>
      </c>
      <c r="B42" t="s">
        <v>73</v>
      </c>
      <c r="C42">
        <v>25</v>
      </c>
      <c r="D42" t="s">
        <v>159</v>
      </c>
      <c r="E42" s="1" t="s">
        <v>160</v>
      </c>
      <c r="G42" s="9">
        <v>45518</v>
      </c>
      <c r="H42" s="9">
        <v>45897</v>
      </c>
      <c r="I42">
        <v>0</v>
      </c>
      <c r="J42">
        <v>-41691.658499999998</v>
      </c>
      <c r="K42">
        <v>0</v>
      </c>
      <c r="L42">
        <v>-248.16463392857099</v>
      </c>
      <c r="M42">
        <v>0</v>
      </c>
      <c r="N42">
        <v>14.583866451719601</v>
      </c>
      <c r="O42">
        <v>21.635000000000002</v>
      </c>
      <c r="P42">
        <v>6.899</v>
      </c>
      <c r="Q42">
        <v>0</v>
      </c>
      <c r="R42">
        <v>0</v>
      </c>
      <c r="S42">
        <v>0</v>
      </c>
      <c r="T42">
        <v>0</v>
      </c>
      <c r="U42">
        <v>168</v>
      </c>
      <c r="V42">
        <v>0</v>
      </c>
      <c r="X42" s="12">
        <v>42.417727999999997</v>
      </c>
      <c r="Y42" s="11">
        <v>-70.912402</v>
      </c>
      <c r="AA42" s="1" t="s">
        <v>130</v>
      </c>
    </row>
    <row r="43" spans="1:47" x14ac:dyDescent="0.25">
      <c r="A43" t="s">
        <v>37</v>
      </c>
      <c r="B43" t="s">
        <v>73</v>
      </c>
      <c r="C43">
        <v>25</v>
      </c>
      <c r="D43" t="s">
        <v>109</v>
      </c>
      <c r="E43" s="1" t="s">
        <v>110</v>
      </c>
      <c r="G43" s="9">
        <v>45518</v>
      </c>
      <c r="H43" s="9">
        <v>45901</v>
      </c>
      <c r="I43">
        <v>0</v>
      </c>
      <c r="J43">
        <v>-41810.4355</v>
      </c>
      <c r="K43">
        <v>0</v>
      </c>
      <c r="L43">
        <v>-243.08392732558099</v>
      </c>
      <c r="M43">
        <v>0</v>
      </c>
      <c r="N43">
        <v>14.8107347141473</v>
      </c>
      <c r="O43">
        <v>20.771999999999998</v>
      </c>
      <c r="P43">
        <v>5.6924999999999999</v>
      </c>
      <c r="Q43">
        <v>0</v>
      </c>
      <c r="R43">
        <v>0</v>
      </c>
      <c r="S43">
        <v>0</v>
      </c>
      <c r="T43">
        <v>0</v>
      </c>
      <c r="U43">
        <v>172</v>
      </c>
      <c r="V43">
        <v>0</v>
      </c>
      <c r="X43" s="12">
        <v>42.594096</v>
      </c>
      <c r="Y43" s="11">
        <v>-70.656833000000006</v>
      </c>
      <c r="AA43" s="1" t="s">
        <v>130</v>
      </c>
    </row>
    <row r="44" spans="1:47" x14ac:dyDescent="0.25">
      <c r="A44" t="s">
        <v>90</v>
      </c>
      <c r="B44" t="s">
        <v>97</v>
      </c>
      <c r="C44">
        <v>25</v>
      </c>
      <c r="D44" t="s">
        <v>100</v>
      </c>
      <c r="E44" s="1" t="s">
        <v>101</v>
      </c>
      <c r="G44" s="9">
        <v>45524</v>
      </c>
      <c r="H44" s="9">
        <v>45910</v>
      </c>
      <c r="I44" s="15">
        <v>0</v>
      </c>
      <c r="J44" s="15">
        <v>-51376.862999999998</v>
      </c>
      <c r="K44" s="15">
        <v>0</v>
      </c>
      <c r="L44" s="15">
        <v>-293.58207399999998</v>
      </c>
      <c r="M44" s="15">
        <v>0</v>
      </c>
      <c r="N44" s="15">
        <v>12.6732128</v>
      </c>
      <c r="O44" s="15">
        <v>21.774999999999999</v>
      </c>
      <c r="P44" s="15">
        <v>5.7030000000000003</v>
      </c>
      <c r="Q44" s="15">
        <v>0</v>
      </c>
      <c r="R44" s="15">
        <v>0</v>
      </c>
      <c r="S44" s="15">
        <v>0</v>
      </c>
      <c r="T44" s="15">
        <v>0</v>
      </c>
      <c r="U44" s="15">
        <v>175</v>
      </c>
      <c r="V44" s="15">
        <v>0</v>
      </c>
      <c r="X44" s="12">
        <v>44.227739999999997</v>
      </c>
      <c r="Y44" s="11">
        <v>-68.322609999999997</v>
      </c>
      <c r="AA44" s="1" t="s">
        <v>130</v>
      </c>
    </row>
    <row r="45" spans="1:47" s="5" customFormat="1" x14ac:dyDescent="0.25">
      <c r="A45" t="s">
        <v>155</v>
      </c>
      <c r="B45" t="s">
        <v>73</v>
      </c>
      <c r="C45">
        <v>25</v>
      </c>
      <c r="D45" t="s">
        <v>161</v>
      </c>
      <c r="E45" s="1" t="s">
        <v>162</v>
      </c>
      <c r="F45"/>
      <c r="G45" s="2">
        <v>45805</v>
      </c>
      <c r="H45" s="2">
        <v>45863</v>
      </c>
      <c r="I45" s="1">
        <v>69.241833299999996</v>
      </c>
      <c r="J45" s="1">
        <v>-5962.7375700000002</v>
      </c>
      <c r="K45" s="1">
        <v>1.1735903999999999</v>
      </c>
      <c r="L45" s="1">
        <v>-101.063349</v>
      </c>
      <c r="M45" s="1">
        <v>16.211500000000001</v>
      </c>
      <c r="N45" s="1">
        <v>20.742532799999999</v>
      </c>
      <c r="O45" s="1">
        <v>28.664833300000002</v>
      </c>
      <c r="P45" s="1">
        <v>14.468999999999999</v>
      </c>
      <c r="Q45" s="1">
        <v>9</v>
      </c>
      <c r="R45" s="1">
        <v>25</v>
      </c>
      <c r="S45" s="1">
        <v>0.12166667</v>
      </c>
      <c r="T45" s="1">
        <v>1.6825630000000001E-2</v>
      </c>
      <c r="U45" s="1">
        <v>59</v>
      </c>
      <c r="V45" s="1">
        <v>5.2254831800000003</v>
      </c>
      <c r="W45"/>
      <c r="X45" s="11">
        <v>43.072521000000002</v>
      </c>
      <c r="Y45" s="12">
        <v>-70.885059999999996</v>
      </c>
      <c r="Z45"/>
      <c r="AA45" s="1" t="s">
        <v>130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47" x14ac:dyDescent="0.25">
      <c r="A46" t="s">
        <v>64</v>
      </c>
      <c r="B46" t="s">
        <v>65</v>
      </c>
      <c r="C46">
        <v>28.6</v>
      </c>
      <c r="D46" t="s">
        <v>119</v>
      </c>
      <c r="E46" s="1" t="s">
        <v>120</v>
      </c>
      <c r="G46" s="9">
        <v>45489</v>
      </c>
      <c r="H46" s="9">
        <v>45783</v>
      </c>
      <c r="I46" s="1">
        <v>405.9375</v>
      </c>
      <c r="J46" s="1">
        <v>-5612.20417</v>
      </c>
      <c r="K46" s="1">
        <v>4.8908132499999999</v>
      </c>
      <c r="L46" s="1">
        <v>-67.616917700000002</v>
      </c>
      <c r="M46" s="1">
        <v>37.090000000000003</v>
      </c>
      <c r="N46" s="1">
        <v>25.954760199999999</v>
      </c>
      <c r="O46" s="1">
        <v>36.28</v>
      </c>
      <c r="P46" s="1">
        <v>19.71</v>
      </c>
      <c r="Q46" s="1">
        <v>11</v>
      </c>
      <c r="R46" s="1">
        <v>39</v>
      </c>
      <c r="S46" s="1">
        <v>0.23076922999999999</v>
      </c>
      <c r="T46" s="1">
        <v>1.737462E-2</v>
      </c>
      <c r="U46" s="1">
        <v>83</v>
      </c>
      <c r="V46" s="1">
        <v>10.9923664</v>
      </c>
      <c r="X46" s="12">
        <v>35.094830000000002</v>
      </c>
      <c r="Y46" s="12">
        <v>-76.008780000000002</v>
      </c>
      <c r="AA46" s="1" t="s">
        <v>130</v>
      </c>
    </row>
    <row r="47" spans="1:47" x14ac:dyDescent="0.25">
      <c r="A47" t="s">
        <v>64</v>
      </c>
      <c r="B47" t="s">
        <v>65</v>
      </c>
      <c r="C47">
        <v>28.6</v>
      </c>
      <c r="D47" t="s">
        <v>70</v>
      </c>
      <c r="E47" s="1" t="s">
        <v>71</v>
      </c>
      <c r="G47" s="9">
        <v>45418</v>
      </c>
      <c r="H47" s="9">
        <v>45804</v>
      </c>
      <c r="I47" s="1">
        <v>802.75300000000004</v>
      </c>
      <c r="J47" s="1">
        <v>-11744.0309</v>
      </c>
      <c r="K47" s="1">
        <v>4.5871599999999999</v>
      </c>
      <c r="L47" s="1">
        <v>-67.1087481</v>
      </c>
      <c r="M47" s="1">
        <v>48.347749999999998</v>
      </c>
      <c r="N47" s="1">
        <v>25.962971499999998</v>
      </c>
      <c r="O47" s="1">
        <v>32.325249999999997</v>
      </c>
      <c r="P47" s="1">
        <v>16.1175</v>
      </c>
      <c r="Q47" s="1">
        <v>24</v>
      </c>
      <c r="R47" s="1">
        <v>55</v>
      </c>
      <c r="S47" s="1">
        <v>0.57727273000000001</v>
      </c>
      <c r="T47" s="1">
        <v>8.1850000000000006E-2</v>
      </c>
      <c r="U47" s="1">
        <v>175</v>
      </c>
      <c r="V47" s="1">
        <v>18.229665099999998</v>
      </c>
      <c r="X47" s="12">
        <v>35.483629999999998</v>
      </c>
      <c r="Y47" s="12">
        <v>-75.496799999999993</v>
      </c>
      <c r="AA47" s="1" t="s">
        <v>130</v>
      </c>
    </row>
    <row r="48" spans="1:47" x14ac:dyDescent="0.25">
      <c r="A48" t="s">
        <v>64</v>
      </c>
      <c r="B48" t="s">
        <v>65</v>
      </c>
      <c r="C48">
        <v>28.6</v>
      </c>
      <c r="D48" t="s">
        <v>117</v>
      </c>
      <c r="E48" s="1" t="s">
        <v>118</v>
      </c>
      <c r="G48" s="9">
        <v>45778</v>
      </c>
      <c r="H48" s="9">
        <v>45852</v>
      </c>
      <c r="I48" s="1">
        <v>508.96249999999998</v>
      </c>
      <c r="J48" s="1">
        <v>-5699.5725000000002</v>
      </c>
      <c r="K48" s="1">
        <v>6.7861666700000001</v>
      </c>
      <c r="L48" s="1">
        <v>-75.994299999999996</v>
      </c>
      <c r="M48" s="1">
        <v>44.115000000000002</v>
      </c>
      <c r="N48" s="1">
        <v>25.707391900000001</v>
      </c>
      <c r="O48" s="1">
        <v>34.232500000000002</v>
      </c>
      <c r="P48" s="1">
        <v>19.012499999999999</v>
      </c>
      <c r="Q48" s="1">
        <v>14</v>
      </c>
      <c r="R48" s="1">
        <v>34</v>
      </c>
      <c r="S48" s="1">
        <v>0.41544118000000002</v>
      </c>
      <c r="T48" s="1">
        <v>4.5244670000000001E-2</v>
      </c>
      <c r="U48" s="1">
        <v>75</v>
      </c>
      <c r="V48" s="1">
        <v>18.938547499999999</v>
      </c>
      <c r="X48" s="12">
        <v>35.226329999999997</v>
      </c>
      <c r="Y48" s="12">
        <v>-75.728999999999999</v>
      </c>
      <c r="AA48" s="1" t="s">
        <v>130</v>
      </c>
    </row>
    <row r="49" spans="1:28" x14ac:dyDescent="0.25">
      <c r="A49" t="s">
        <v>72</v>
      </c>
      <c r="B49" t="s">
        <v>73</v>
      </c>
      <c r="C49">
        <v>28.6</v>
      </c>
      <c r="D49" t="s">
        <v>78</v>
      </c>
      <c r="E49" s="1" t="s">
        <v>79</v>
      </c>
      <c r="G49" s="9">
        <v>45084</v>
      </c>
      <c r="H49" s="9">
        <v>45930</v>
      </c>
      <c r="I49" s="1">
        <v>1064.3789999999999</v>
      </c>
      <c r="J49" s="1">
        <v>-32917.8963</v>
      </c>
      <c r="K49" s="1">
        <v>2.7718203099999998</v>
      </c>
      <c r="L49" s="1">
        <v>-85.723688199999998</v>
      </c>
      <c r="M49" s="1">
        <v>67.554749999999999</v>
      </c>
      <c r="N49" s="1">
        <v>25.094836000000001</v>
      </c>
      <c r="O49" s="1">
        <v>35.074249999999999</v>
      </c>
      <c r="P49" s="1">
        <v>16.965250000000001</v>
      </c>
      <c r="Q49" s="1">
        <v>41</v>
      </c>
      <c r="R49" s="1">
        <v>155</v>
      </c>
      <c r="S49" s="1">
        <v>0.26317204</v>
      </c>
      <c r="T49" s="1">
        <v>4.0314170000000003E-2</v>
      </c>
      <c r="U49" s="1">
        <v>384</v>
      </c>
      <c r="V49" s="1">
        <v>10.690106999999999</v>
      </c>
      <c r="X49" s="12">
        <v>37.272784000000001</v>
      </c>
      <c r="Y49" s="12">
        <v>-75.806096999999994</v>
      </c>
      <c r="AA49" s="1" t="s">
        <v>130</v>
      </c>
    </row>
    <row r="50" spans="1:28" x14ac:dyDescent="0.25">
      <c r="A50" t="s">
        <v>72</v>
      </c>
      <c r="B50" t="s">
        <v>73</v>
      </c>
      <c r="C50">
        <v>28.6</v>
      </c>
      <c r="D50" t="s">
        <v>76</v>
      </c>
      <c r="E50" s="1" t="s">
        <v>77</v>
      </c>
      <c r="G50" s="9">
        <v>45413</v>
      </c>
      <c r="H50" s="9">
        <v>45908</v>
      </c>
      <c r="I50" s="1">
        <v>316.89625000000001</v>
      </c>
      <c r="J50" s="1">
        <v>-30650.7389</v>
      </c>
      <c r="K50" s="1">
        <v>1.2625348599999999</v>
      </c>
      <c r="L50" s="1">
        <v>-122.114498</v>
      </c>
      <c r="M50" s="1">
        <v>36.746250000000003</v>
      </c>
      <c r="N50" s="1">
        <v>23.392478799999999</v>
      </c>
      <c r="O50" s="1">
        <v>32.896000000000001</v>
      </c>
      <c r="P50" s="1">
        <v>13.139250000000001</v>
      </c>
      <c r="Q50" s="1">
        <v>15</v>
      </c>
      <c r="R50" s="1">
        <v>75</v>
      </c>
      <c r="S50" s="1">
        <v>0.16777777999999999</v>
      </c>
      <c r="T50" s="1">
        <v>2.0851689999999999E-2</v>
      </c>
      <c r="U50" s="1">
        <v>251</v>
      </c>
      <c r="V50" s="1">
        <v>5.2149887799999997</v>
      </c>
      <c r="X50" s="12">
        <v>37.614136000000002</v>
      </c>
      <c r="Y50" s="12">
        <v>-75.685809000000006</v>
      </c>
      <c r="Z50" t="s">
        <v>163</v>
      </c>
      <c r="AA50" s="1" t="s">
        <v>130</v>
      </c>
    </row>
    <row r="51" spans="1:28" x14ac:dyDescent="0.25">
      <c r="A51" t="s">
        <v>37</v>
      </c>
      <c r="B51" t="s">
        <v>38</v>
      </c>
      <c r="C51">
        <v>25</v>
      </c>
      <c r="D51" t="s">
        <v>44</v>
      </c>
      <c r="E51" s="1" t="s">
        <v>45</v>
      </c>
      <c r="F51" t="s">
        <v>43</v>
      </c>
      <c r="G51" s="9">
        <v>44785</v>
      </c>
      <c r="H51" s="9">
        <v>45863</v>
      </c>
      <c r="I51">
        <v>377.25908333333302</v>
      </c>
      <c r="J51">
        <v>-61146.518633333297</v>
      </c>
      <c r="K51">
        <v>0.89610233570862996</v>
      </c>
      <c r="L51">
        <v>-145.24113689627899</v>
      </c>
      <c r="M51">
        <v>35.016500000000001</v>
      </c>
      <c r="N51">
        <v>18.9524679429447</v>
      </c>
      <c r="O51">
        <v>27.973500000000001</v>
      </c>
      <c r="P51">
        <v>5.6550000000000002</v>
      </c>
      <c r="Q51">
        <v>16</v>
      </c>
      <c r="R51">
        <v>46</v>
      </c>
      <c r="S51">
        <v>0.44836956521739102</v>
      </c>
      <c r="T51">
        <v>0.112306259359779</v>
      </c>
      <c r="U51">
        <v>421</v>
      </c>
      <c r="V51">
        <v>4.9185214626391103</v>
      </c>
      <c r="X51" s="12">
        <v>42.058399000000001</v>
      </c>
      <c r="Y51" s="12">
        <v>-70.161844000000002</v>
      </c>
      <c r="AA51" s="1" t="s">
        <v>130</v>
      </c>
      <c r="AB51">
        <v>0</v>
      </c>
    </row>
    <row r="52" spans="1:28" x14ac:dyDescent="0.25">
      <c r="E52" s="1"/>
    </row>
    <row r="53" spans="1:28" x14ac:dyDescent="0.25">
      <c r="E53" s="1"/>
    </row>
  </sheetData>
  <autoFilter ref="A1:A51" xr:uid="{198B8F60-5AE1-46B2-AF29-2001F56747CE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ECB752B0AD543815B8D9AF024C261" ma:contentTypeVersion="14" ma:contentTypeDescription="Create a new document." ma:contentTypeScope="" ma:versionID="0049ceda05fd7d1f30cbca6a7456c194">
  <xsd:schema xmlns:xsd="http://www.w3.org/2001/XMLSchema" xmlns:xs="http://www.w3.org/2001/XMLSchema" xmlns:p="http://schemas.microsoft.com/office/2006/metadata/properties" xmlns:ns2="167b66d6-b0d8-4d7e-8e6b-ec1f3e01f5e7" xmlns:ns3="806b8183-588f-4d74-85e7-7c53102722a8" targetNamespace="http://schemas.microsoft.com/office/2006/metadata/properties" ma:root="true" ma:fieldsID="9abaeb0f108b532a89c8b867b535a2f9" ns2:_="" ns3:_="">
    <xsd:import namespace="167b66d6-b0d8-4d7e-8e6b-ec1f3e01f5e7"/>
    <xsd:import namespace="806b8183-588f-4d74-85e7-7c53102722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b66d6-b0d8-4d7e-8e6b-ec1f3e01f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50c834-8d4b-4a14-b25e-aaab46c196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b8183-588f-4d74-85e7-7c53102722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a5f25-b017-44f0-9348-af194898c2c4}" ma:internalName="TaxCatchAll" ma:showField="CatchAllData" ma:web="806b8183-588f-4d74-85e7-7c53102722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7b66d6-b0d8-4d7e-8e6b-ec1f3e01f5e7">
      <Terms xmlns="http://schemas.microsoft.com/office/infopath/2007/PartnerControls"/>
    </lcf76f155ced4ddcb4097134ff3c332f>
    <TaxCatchAll xmlns="806b8183-588f-4d74-85e7-7c53102722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8F7CFC-A1AC-4029-9FE5-B1457642F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7b66d6-b0d8-4d7e-8e6b-ec1f3e01f5e7"/>
    <ds:schemaRef ds:uri="806b8183-588f-4d74-85e7-7c53102722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13898D-7EE4-47E7-A4BA-15DA663A513D}">
  <ds:schemaRefs>
    <ds:schemaRef ds:uri="http://schemas.microsoft.com/office/2006/metadata/properties"/>
    <ds:schemaRef ds:uri="http://schemas.microsoft.com/office/infopath/2007/PartnerControls"/>
    <ds:schemaRef ds:uri="167b66d6-b0d8-4d7e-8e6b-ec1f3e01f5e7"/>
    <ds:schemaRef ds:uri="806b8183-588f-4d74-85e7-7c53102722a8"/>
  </ds:schemaRefs>
</ds:datastoreItem>
</file>

<file path=customXml/itemProps3.xml><?xml version="1.0" encoding="utf-8"?>
<ds:datastoreItem xmlns:ds="http://schemas.openxmlformats.org/officeDocument/2006/customXml" ds:itemID="{C61F941F-6010-4850-9AE4-98EBF93BC5E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Site_Year_OP</vt:lpstr>
      <vt:lpstr>Sheet1</vt:lpstr>
      <vt:lpstr>Site Summary Master_25</vt:lpstr>
    </vt:vector>
  </TitlesOfParts>
  <Manager/>
  <Company>Department of the Interior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Button, Kaitlyn L</dc:creator>
  <cp:keywords/>
  <dc:description/>
  <cp:lastModifiedBy>Button, Kaitlyn L</cp:lastModifiedBy>
  <cp:revision/>
  <dcterms:created xsi:type="dcterms:W3CDTF">2026-01-27T19:04:40Z</dcterms:created>
  <dcterms:modified xsi:type="dcterms:W3CDTF">2026-04-28T17:59:13Z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0x010100873ECB752B0AD543815B8D9AF024C261</vt:lpwstr>
  </property>
  <property fmtid="{D5CDD505-2E9C-101B-9397-08002B2CF9AE}" pid="3" name="MediaServiceImageTags">
    <vt:lpwstr/>
  </property>
</Properties>
</file>